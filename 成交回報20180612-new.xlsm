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\data\data\"/>
    </mc:Choice>
  </mc:AlternateContent>
  <bookViews>
    <workbookView xWindow="360" yWindow="315" windowWidth="22395" windowHeight="11145" activeTab="1"/>
  </bookViews>
  <sheets>
    <sheet name="成交回報20180612" sheetId="1" r:id="rId1"/>
    <sheet name="result" sheetId="2" r:id="rId2"/>
    <sheet name="result1" sheetId="3" r:id="rId3"/>
  </sheets>
  <definedNames>
    <definedName name="_xlnm._FilterDatabase" localSheetId="1" hidden="1">result!$A$1:$N$70</definedName>
    <definedName name="_xlnm._FilterDatabase" localSheetId="0" hidden="1">成交回報20180612!$B$1:$N$617</definedName>
    <definedName name="daytrade">result!$O$1:$R$10000</definedName>
    <definedName name="output">result!$A$1:$N$10000</definedName>
    <definedName name="stock">成交回報20180612!$B$7:$N$10000</definedName>
  </definedNames>
  <calcPr calcId="162913"/>
</workbook>
</file>

<file path=xl/calcChain.xml><?xml version="1.0" encoding="utf-8"?>
<calcChain xmlns="http://schemas.openxmlformats.org/spreadsheetml/2006/main">
  <c r="Q8" i="1" l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7" i="1"/>
</calcChain>
</file>

<file path=xl/sharedStrings.xml><?xml version="1.0" encoding="utf-8"?>
<sst xmlns="http://schemas.openxmlformats.org/spreadsheetml/2006/main" count="3056" uniqueCount="315">
  <si>
    <t>~iC</t>
  </si>
  <si>
    <t>程式代號</t>
  </si>
  <si>
    <t>:</t>
  </si>
  <si>
    <t>&lt;ST0305&gt;</t>
  </si>
  <si>
    <t>自營部</t>
  </si>
  <si>
    <t>頁</t>
  </si>
  <si>
    <t>次</t>
  </si>
  <si>
    <t>印表日期</t>
  </si>
  <si>
    <t>普</t>
  </si>
  <si>
    <t>通</t>
  </si>
  <si>
    <t>股</t>
  </si>
  <si>
    <t>成</t>
  </si>
  <si>
    <t>交</t>
  </si>
  <si>
    <t>回</t>
  </si>
  <si>
    <t>報</t>
  </si>
  <si>
    <t>明</t>
  </si>
  <si>
    <t>細</t>
  </si>
  <si>
    <t>表</t>
  </si>
  <si>
    <t>資料日期</t>
  </si>
  <si>
    <t>排序方式:</t>
  </si>
  <si>
    <t>委託書號</t>
  </si>
  <si>
    <t>回報編號</t>
  </si>
  <si>
    <t>委託書</t>
  </si>
  <si>
    <t>客戶帳號</t>
  </si>
  <si>
    <t>股票代號</t>
  </si>
  <si>
    <t>張數</t>
  </si>
  <si>
    <t>成交單價</t>
  </si>
  <si>
    <t>B/S</t>
  </si>
  <si>
    <t>總</t>
  </si>
  <si>
    <t>金</t>
  </si>
  <si>
    <t>額</t>
  </si>
  <si>
    <t>交易別</t>
  </si>
  <si>
    <t>成交時間</t>
  </si>
  <si>
    <t>成交序號</t>
  </si>
  <si>
    <t>營業員姓名</t>
  </si>
  <si>
    <t>戶</t>
  </si>
  <si>
    <t>期貨IB</t>
  </si>
  <si>
    <t>來源</t>
  </si>
  <si>
    <t>========</t>
  </si>
  <si>
    <t>======</t>
  </si>
  <si>
    <t>====</t>
  </si>
  <si>
    <t>===</t>
  </si>
  <si>
    <t>==================</t>
  </si>
  <si>
    <t>==========</t>
  </si>
  <si>
    <t>=======</t>
  </si>
  <si>
    <t>000000-0</t>
  </si>
  <si>
    <t>S</t>
  </si>
  <si>
    <t>王柏元</t>
  </si>
  <si>
    <t>周卓緯</t>
  </si>
  <si>
    <t>B</t>
  </si>
  <si>
    <t>陳威任</t>
  </si>
  <si>
    <t>------------------------------------------------------------------------------------------------------------------------------------</t>
  </si>
  <si>
    <t>陳乃菁</t>
  </si>
  <si>
    <t>====================================================================================================================================</t>
  </si>
  <si>
    <t>_x000C_</t>
  </si>
  <si>
    <t>蘇?萍</t>
  </si>
  <si>
    <t>H0228</t>
  </si>
  <si>
    <t>H0516</t>
  </si>
  <si>
    <t>H0586</t>
  </si>
  <si>
    <t>H0618</t>
  </si>
  <si>
    <t>H0810</t>
  </si>
  <si>
    <t>H1121</t>
  </si>
  <si>
    <t>H1751</t>
  </si>
  <si>
    <t>I0356</t>
  </si>
  <si>
    <t>I0358</t>
  </si>
  <si>
    <t>I0667</t>
  </si>
  <si>
    <t>I0751</t>
  </si>
  <si>
    <t>I1228</t>
  </si>
  <si>
    <t>I1258</t>
  </si>
  <si>
    <t>J0284</t>
  </si>
  <si>
    <t>J0302</t>
  </si>
  <si>
    <t>J0594</t>
  </si>
  <si>
    <t>J1093</t>
  </si>
  <si>
    <t>J1739</t>
  </si>
  <si>
    <t>J1768</t>
  </si>
  <si>
    <t>J1949</t>
  </si>
  <si>
    <t>J2065</t>
  </si>
  <si>
    <t>K0731</t>
  </si>
  <si>
    <t>K1218</t>
  </si>
  <si>
    <t>K1284</t>
  </si>
  <si>
    <t>K1622</t>
  </si>
  <si>
    <t>K1714</t>
  </si>
  <si>
    <t>K1969</t>
  </si>
  <si>
    <t>L1030</t>
  </si>
  <si>
    <t>L1733</t>
  </si>
  <si>
    <t>L1749</t>
  </si>
  <si>
    <t>L1806</t>
  </si>
  <si>
    <t>L1851</t>
  </si>
  <si>
    <t>M0073</t>
  </si>
  <si>
    <t>M1126</t>
  </si>
  <si>
    <t>M1530</t>
  </si>
  <si>
    <t>M1976</t>
  </si>
  <si>
    <t>N1182</t>
  </si>
  <si>
    <t>N1640</t>
  </si>
  <si>
    <t>N1802</t>
  </si>
  <si>
    <t>N1899</t>
  </si>
  <si>
    <t>O0701</t>
  </si>
  <si>
    <t>O0890</t>
  </si>
  <si>
    <t>O0961</t>
  </si>
  <si>
    <t>O1199</t>
  </si>
  <si>
    <t>O1200</t>
  </si>
  <si>
    <t>P0700</t>
  </si>
  <si>
    <t>P0736</t>
  </si>
  <si>
    <t>P1747</t>
  </si>
  <si>
    <t>P1933</t>
  </si>
  <si>
    <t>Q1215</t>
  </si>
  <si>
    <t>Q1405</t>
  </si>
  <si>
    <t>R0564</t>
  </si>
  <si>
    <t>R0621</t>
  </si>
  <si>
    <t>R0628</t>
  </si>
  <si>
    <t>R0674</t>
  </si>
  <si>
    <t>R1224</t>
  </si>
  <si>
    <t>R1443</t>
  </si>
  <si>
    <t>R1677</t>
  </si>
  <si>
    <t>S0648</t>
  </si>
  <si>
    <t>S0699</t>
  </si>
  <si>
    <t>T0314</t>
  </si>
  <si>
    <t>T0696</t>
  </si>
  <si>
    <t>T0811</t>
  </si>
  <si>
    <t>T1061</t>
  </si>
  <si>
    <t>T1109</t>
  </si>
  <si>
    <t>T1388</t>
  </si>
  <si>
    <t>T1773</t>
  </si>
  <si>
    <t>U0570</t>
  </si>
  <si>
    <t>U0722</t>
  </si>
  <si>
    <t>U0759</t>
  </si>
  <si>
    <t>U1087</t>
  </si>
  <si>
    <t>U1255</t>
  </si>
  <si>
    <t>U1296</t>
  </si>
  <si>
    <t>V0441</t>
  </si>
  <si>
    <t>V1454</t>
  </si>
  <si>
    <t>V1792</t>
  </si>
  <si>
    <t>V1814</t>
  </si>
  <si>
    <t>W1063</t>
  </si>
  <si>
    <t>W1594</t>
  </si>
  <si>
    <t>X0738</t>
  </si>
  <si>
    <t>Y1020</t>
  </si>
  <si>
    <t>Z0675</t>
  </si>
  <si>
    <t>Z0813</t>
  </si>
  <si>
    <t>Z1592</t>
  </si>
  <si>
    <t>Z1718</t>
  </si>
  <si>
    <t>d00Sz</t>
  </si>
  <si>
    <t>郭獻聰</t>
  </si>
  <si>
    <t>7QFII</t>
  </si>
  <si>
    <t>d00VT</t>
  </si>
  <si>
    <t>d00dD</t>
  </si>
  <si>
    <t>d00eX</t>
  </si>
  <si>
    <t>d00pL</t>
  </si>
  <si>
    <t>d00rb</t>
  </si>
  <si>
    <t>d00sV</t>
  </si>
  <si>
    <t>d00ww</t>
  </si>
  <si>
    <t>d00xx</t>
  </si>
  <si>
    <t>d00yj</t>
  </si>
  <si>
    <t>d01Lj</t>
  </si>
  <si>
    <t>d01zz</t>
  </si>
  <si>
    <t>d0212</t>
  </si>
  <si>
    <t>d02FI</t>
  </si>
  <si>
    <t>陳怡君</t>
  </si>
  <si>
    <t>d02LR</t>
  </si>
  <si>
    <t>d02nY</t>
  </si>
  <si>
    <t>d02w5</t>
  </si>
  <si>
    <t>借６</t>
  </si>
  <si>
    <t>d02wh</t>
  </si>
  <si>
    <t>d02wt</t>
  </si>
  <si>
    <t>d02xP</t>
  </si>
  <si>
    <t>d03WC</t>
  </si>
  <si>
    <t>d03eJ</t>
  </si>
  <si>
    <t>d03m2</t>
  </si>
  <si>
    <t>d03zB</t>
  </si>
  <si>
    <t>d03zC</t>
  </si>
  <si>
    <t>d041O</t>
  </si>
  <si>
    <t>d041i</t>
  </si>
  <si>
    <t>d043v</t>
  </si>
  <si>
    <t>d043w</t>
  </si>
  <si>
    <t>d0441</t>
  </si>
  <si>
    <t>d044A</t>
  </si>
  <si>
    <t>d048B</t>
  </si>
  <si>
    <t>d048I</t>
  </si>
  <si>
    <t>d04B5</t>
  </si>
  <si>
    <t>d04BS</t>
  </si>
  <si>
    <t>d04DC</t>
  </si>
  <si>
    <t>d04DJ</t>
  </si>
  <si>
    <t>d04EJ</t>
  </si>
  <si>
    <t>d04Kf</t>
  </si>
  <si>
    <t>d04Ki</t>
  </si>
  <si>
    <t>d04o6</t>
  </si>
  <si>
    <t>d04od</t>
  </si>
  <si>
    <t>d052M</t>
  </si>
  <si>
    <t>d053a</t>
  </si>
  <si>
    <t>d0546</t>
  </si>
  <si>
    <t>d0547</t>
  </si>
  <si>
    <t>d0548</t>
  </si>
  <si>
    <t>d05DY</t>
  </si>
  <si>
    <t>d05Ok</t>
  </si>
  <si>
    <t>d05Oo</t>
  </si>
  <si>
    <t>d05Pz</t>
  </si>
  <si>
    <t>d05Q0</t>
  </si>
  <si>
    <t>d05Ro</t>
  </si>
  <si>
    <t>d05Rp</t>
  </si>
  <si>
    <t>d05Rq</t>
  </si>
  <si>
    <t>d05S1</t>
  </si>
  <si>
    <t>d05S7</t>
  </si>
  <si>
    <t>d05V8</t>
  </si>
  <si>
    <t>d05hY</t>
  </si>
  <si>
    <t>d05ji</t>
  </si>
  <si>
    <t>d05sV</t>
  </si>
  <si>
    <t>d06Iz</t>
  </si>
  <si>
    <t>k0383</t>
  </si>
  <si>
    <t>9QFII</t>
  </si>
  <si>
    <t>k1383</t>
  </si>
  <si>
    <t>k1517</t>
  </si>
  <si>
    <t>k1656</t>
  </si>
  <si>
    <t>k1723</t>
  </si>
  <si>
    <t>k1854</t>
  </si>
  <si>
    <t>k3218</t>
  </si>
  <si>
    <t>k3340</t>
  </si>
  <si>
    <t>l0003</t>
  </si>
  <si>
    <t>l0004</t>
  </si>
  <si>
    <t>l0210</t>
  </si>
  <si>
    <t>l3434</t>
  </si>
  <si>
    <t>l3973</t>
  </si>
  <si>
    <t>m0242</t>
  </si>
  <si>
    <t>m1033</t>
  </si>
  <si>
    <t>m1451</t>
  </si>
  <si>
    <t>m2291</t>
  </si>
  <si>
    <t>m2494</t>
  </si>
  <si>
    <t>m2495</t>
  </si>
  <si>
    <t>m3615</t>
  </si>
  <si>
    <t>王登城</t>
  </si>
  <si>
    <t>m3779</t>
  </si>
  <si>
    <t>n0242</t>
  </si>
  <si>
    <t>n0412</t>
  </si>
  <si>
    <t>n0837</t>
  </si>
  <si>
    <t>n1936</t>
  </si>
  <si>
    <t>n2360</t>
  </si>
  <si>
    <t>n3445</t>
  </si>
  <si>
    <t>n3467</t>
  </si>
  <si>
    <t>n3524</t>
  </si>
  <si>
    <t>o1419</t>
  </si>
  <si>
    <t>o1521</t>
  </si>
  <si>
    <t>o2230</t>
  </si>
  <si>
    <t>o3433</t>
  </si>
  <si>
    <t>o3457</t>
  </si>
  <si>
    <t>p0586</t>
  </si>
  <si>
    <t>p0749</t>
  </si>
  <si>
    <t>p1178</t>
  </si>
  <si>
    <t>p1433</t>
  </si>
  <si>
    <t>p1608</t>
  </si>
  <si>
    <t>p1609</t>
  </si>
  <si>
    <t>p2254</t>
  </si>
  <si>
    <t>p2658</t>
  </si>
  <si>
    <t>p2974</t>
  </si>
  <si>
    <t>p2978</t>
  </si>
  <si>
    <t>p3284</t>
  </si>
  <si>
    <t>p3514</t>
  </si>
  <si>
    <t>p3637</t>
  </si>
  <si>
    <t>p3667</t>
  </si>
  <si>
    <t>p3898</t>
  </si>
  <si>
    <t>q1343</t>
  </si>
  <si>
    <t>q1468</t>
  </si>
  <si>
    <t>q2035</t>
  </si>
  <si>
    <t>q2184</t>
  </si>
  <si>
    <t>r0003</t>
  </si>
  <si>
    <t>r1281</t>
  </si>
  <si>
    <t>r2577</t>
  </si>
  <si>
    <t>r2870</t>
  </si>
  <si>
    <t>r2922</t>
  </si>
  <si>
    <t>r3295</t>
  </si>
  <si>
    <t>s0355</t>
  </si>
  <si>
    <t>s1352</t>
  </si>
  <si>
    <t>s1506</t>
  </si>
  <si>
    <t>s1588</t>
  </si>
  <si>
    <t>s2708</t>
  </si>
  <si>
    <t>s3240</t>
  </si>
  <si>
    <t>s3263</t>
  </si>
  <si>
    <t>t0464</t>
  </si>
  <si>
    <t>t1367</t>
  </si>
  <si>
    <t>t1397</t>
  </si>
  <si>
    <t>t1462</t>
  </si>
  <si>
    <t>t2265</t>
  </si>
  <si>
    <t>t2350</t>
  </si>
  <si>
    <t>t3068</t>
  </si>
  <si>
    <t>t3523</t>
  </si>
  <si>
    <t>u0255</t>
  </si>
  <si>
    <t>u1696</t>
  </si>
  <si>
    <t>v0123</t>
  </si>
  <si>
    <t>v0263</t>
  </si>
  <si>
    <t>v1173</t>
  </si>
  <si>
    <t>v1749</t>
  </si>
  <si>
    <t>v1946</t>
  </si>
  <si>
    <t>w0159</t>
  </si>
  <si>
    <t>w1235</t>
  </si>
  <si>
    <t>w1320</t>
  </si>
  <si>
    <t>w1380</t>
  </si>
  <si>
    <t>x0075</t>
  </si>
  <si>
    <t>y0555</t>
  </si>
  <si>
    <t>y0596</t>
  </si>
  <si>
    <t>y1005</t>
  </si>
  <si>
    <t>z0206</t>
  </si>
  <si>
    <t>z1156</t>
  </si>
  <si>
    <t>z1221</t>
  </si>
  <si>
    <t>&lt;&lt;</t>
  </si>
  <si>
    <t>資</t>
  </si>
  <si>
    <t>料</t>
  </si>
  <si>
    <t>到</t>
  </si>
  <si>
    <t>此</t>
  </si>
  <si>
    <t>列</t>
  </si>
  <si>
    <t>印</t>
  </si>
  <si>
    <t>完</t>
  </si>
  <si>
    <t>畢</t>
  </si>
  <si>
    <t>&gt;&gt;</t>
  </si>
  <si>
    <t>股票代號</t>
    <phoneticPr fontId="18" type="noConversion"/>
  </si>
  <si>
    <t>張數</t>
    <phoneticPr fontId="18" type="noConversion"/>
  </si>
  <si>
    <t>單價</t>
    <phoneticPr fontId="18" type="noConversion"/>
  </si>
  <si>
    <t>s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</si>
</sst>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7" formatCode="h:mm:ss;@"/>
  </numFmts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4" fontId="0" fillId="0" borderId="0" xfId="0" applyNumberFormat="1">
      <alignment vertical="center"/>
    </xf>
    <xf numFmtId="21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617"/>
  <sheetViews>
    <sheetView workbookViewId="0">
      <selection activeCell="H22" sqref="H22"/>
    </sheetView>
  </sheetViews>
  <sheetFormatPr defaultRowHeight="16.5" x14ac:dyDescent="0.25"/>
  <cols>
    <col min="5" max="5" width="10.375" customWidth="1"/>
    <col min="7" max="7" width="11.875" customWidth="1"/>
    <col min="9" max="9" width="14.75" customWidth="1"/>
    <col min="10" max="10" width="12.625" customWidth="1"/>
  </cols>
  <sheetData>
    <row r="1" spans="1:20" x14ac:dyDescent="0.25">
      <c r="A1" t="s">
        <v>0</v>
      </c>
    </row>
    <row r="5" spans="1:20" x14ac:dyDescent="0.25">
      <c r="E5">
        <v>4</v>
      </c>
      <c r="F5">
        <v>5</v>
      </c>
      <c r="G5">
        <v>6</v>
      </c>
      <c r="H5">
        <v>7</v>
      </c>
      <c r="T5" t="s">
        <v>37</v>
      </c>
    </row>
    <row r="6" spans="1:20" x14ac:dyDescent="0.25">
      <c r="E6" t="s">
        <v>311</v>
      </c>
      <c r="F6" t="s">
        <v>312</v>
      </c>
      <c r="G6" t="s">
        <v>313</v>
      </c>
    </row>
    <row r="7" spans="1:20" x14ac:dyDescent="0.25">
      <c r="B7">
        <v>361</v>
      </c>
      <c r="C7">
        <v>144</v>
      </c>
      <c r="D7" t="s">
        <v>45</v>
      </c>
      <c r="E7">
        <v>2834</v>
      </c>
      <c r="F7">
        <v>1</v>
      </c>
      <c r="G7">
        <v>9.82</v>
      </c>
      <c r="H7" t="s">
        <v>46</v>
      </c>
      <c r="I7" s="1">
        <v>9820</v>
      </c>
      <c r="J7" s="2">
        <v>0.37966435185185188</v>
      </c>
      <c r="K7">
        <v>125206</v>
      </c>
      <c r="L7">
        <v>123</v>
      </c>
      <c r="M7" t="s">
        <v>47</v>
      </c>
      <c r="N7">
        <v>9</v>
      </c>
      <c r="P7">
        <f>SUMIFS($F$7:$F$843,$E$7:$E$843,E7,$H$7:$H$843,"S")</f>
        <v>100</v>
      </c>
      <c r="Q7">
        <f>SUMIFS($F$7:$F$843,$E$7:$E$843,E7,$H$7:$H$843,"b")</f>
        <v>0</v>
      </c>
    </row>
    <row r="8" spans="1:20" x14ac:dyDescent="0.25">
      <c r="B8">
        <v>3194</v>
      </c>
      <c r="C8">
        <v>1116</v>
      </c>
      <c r="D8" t="s">
        <v>45</v>
      </c>
      <c r="E8">
        <v>36912</v>
      </c>
      <c r="F8">
        <v>6</v>
      </c>
      <c r="G8">
        <v>83.4</v>
      </c>
      <c r="H8" t="s">
        <v>46</v>
      </c>
      <c r="I8" s="1">
        <v>500400</v>
      </c>
      <c r="J8" s="2">
        <v>0.53462962962962968</v>
      </c>
      <c r="K8">
        <v>491946</v>
      </c>
      <c r="L8">
        <v>20</v>
      </c>
      <c r="M8" t="s">
        <v>48</v>
      </c>
      <c r="N8">
        <v>9</v>
      </c>
      <c r="P8">
        <f t="shared" ref="P8:P71" si="0">SUMIFS($F$7:$F$843,$E$7:$E$843,E8,$H$7:$H$843,"S")</f>
        <v>12</v>
      </c>
      <c r="Q8">
        <f t="shared" ref="Q8:Q71" si="1">SUMIFS($F$7:$F$843,$E$7:$E$843,E8,$H$7:$H$843,"b")</f>
        <v>0</v>
      </c>
    </row>
    <row r="9" spans="1:20" x14ac:dyDescent="0.25">
      <c r="B9">
        <v>2550</v>
      </c>
      <c r="C9">
        <v>1263</v>
      </c>
      <c r="D9" t="s">
        <v>45</v>
      </c>
      <c r="E9">
        <v>2834</v>
      </c>
      <c r="F9">
        <v>1</v>
      </c>
      <c r="G9">
        <v>9.75</v>
      </c>
      <c r="H9" t="s">
        <v>314</v>
      </c>
      <c r="I9" s="1">
        <v>9750</v>
      </c>
      <c r="J9" s="2">
        <v>0.45641203703703703</v>
      </c>
      <c r="K9">
        <v>782004</v>
      </c>
      <c r="L9">
        <v>123</v>
      </c>
      <c r="M9" t="s">
        <v>47</v>
      </c>
      <c r="N9">
        <v>9</v>
      </c>
      <c r="P9">
        <f t="shared" si="0"/>
        <v>100</v>
      </c>
      <c r="Q9">
        <f t="shared" si="1"/>
        <v>0</v>
      </c>
    </row>
    <row r="10" spans="1:20" x14ac:dyDescent="0.25">
      <c r="B10">
        <v>2749</v>
      </c>
      <c r="C10">
        <v>1411</v>
      </c>
      <c r="D10" t="s">
        <v>45</v>
      </c>
      <c r="E10">
        <v>2834</v>
      </c>
      <c r="F10">
        <v>1</v>
      </c>
      <c r="G10">
        <v>9.75</v>
      </c>
      <c r="H10" t="s">
        <v>46</v>
      </c>
      <c r="I10" s="1">
        <v>9750</v>
      </c>
      <c r="J10" s="2">
        <v>0.46925925925925926</v>
      </c>
      <c r="K10">
        <v>845870</v>
      </c>
      <c r="L10">
        <v>123</v>
      </c>
      <c r="M10" t="s">
        <v>47</v>
      </c>
      <c r="N10">
        <v>9</v>
      </c>
      <c r="P10">
        <f t="shared" si="0"/>
        <v>100</v>
      </c>
      <c r="Q10">
        <f t="shared" si="1"/>
        <v>0</v>
      </c>
    </row>
    <row r="11" spans="1:20" x14ac:dyDescent="0.25">
      <c r="B11">
        <v>1497</v>
      </c>
      <c r="C11">
        <v>10635</v>
      </c>
      <c r="D11" t="s">
        <v>45</v>
      </c>
      <c r="E11">
        <v>2327</v>
      </c>
      <c r="F11">
        <v>5</v>
      </c>
      <c r="G11" s="1">
        <v>1150</v>
      </c>
      <c r="H11" t="s">
        <v>49</v>
      </c>
      <c r="I11" s="1">
        <v>5750000</v>
      </c>
      <c r="J11" s="2">
        <v>0.41320601851851851</v>
      </c>
      <c r="K11">
        <v>481578</v>
      </c>
      <c r="L11">
        <v>192</v>
      </c>
      <c r="M11" t="s">
        <v>50</v>
      </c>
      <c r="N11">
        <v>9</v>
      </c>
      <c r="P11">
        <f t="shared" si="0"/>
        <v>0</v>
      </c>
      <c r="Q11">
        <f t="shared" si="1"/>
        <v>135</v>
      </c>
    </row>
    <row r="12" spans="1:20" x14ac:dyDescent="0.25">
      <c r="B12" t="s">
        <v>51</v>
      </c>
      <c r="P12">
        <f t="shared" si="0"/>
        <v>0</v>
      </c>
      <c r="Q12">
        <f t="shared" si="1"/>
        <v>0</v>
      </c>
    </row>
    <row r="13" spans="1:20" x14ac:dyDescent="0.25">
      <c r="B13">
        <v>2460</v>
      </c>
      <c r="C13">
        <v>11180</v>
      </c>
      <c r="D13" t="s">
        <v>45</v>
      </c>
      <c r="E13">
        <v>2327</v>
      </c>
      <c r="F13">
        <v>3</v>
      </c>
      <c r="G13" s="1">
        <v>1110</v>
      </c>
      <c r="H13" t="s">
        <v>49</v>
      </c>
      <c r="I13" s="1">
        <v>3330000</v>
      </c>
      <c r="J13" s="2">
        <v>0.45046296296296301</v>
      </c>
      <c r="K13">
        <v>736957</v>
      </c>
      <c r="L13">
        <v>192</v>
      </c>
      <c r="M13" t="s">
        <v>50</v>
      </c>
      <c r="N13">
        <v>9</v>
      </c>
      <c r="P13">
        <f t="shared" si="0"/>
        <v>0</v>
      </c>
      <c r="Q13">
        <f t="shared" si="1"/>
        <v>135</v>
      </c>
    </row>
    <row r="14" spans="1:20" x14ac:dyDescent="0.25">
      <c r="B14">
        <v>2925</v>
      </c>
      <c r="C14">
        <v>11537</v>
      </c>
      <c r="D14" t="s">
        <v>45</v>
      </c>
      <c r="E14">
        <v>2834</v>
      </c>
      <c r="F14">
        <v>1</v>
      </c>
      <c r="G14">
        <v>9.76</v>
      </c>
      <c r="H14" t="s">
        <v>46</v>
      </c>
      <c r="I14" s="1">
        <v>9760</v>
      </c>
      <c r="J14" s="2">
        <v>0.48019675925925925</v>
      </c>
      <c r="K14">
        <v>904196</v>
      </c>
      <c r="L14">
        <v>123</v>
      </c>
      <c r="M14" t="s">
        <v>47</v>
      </c>
      <c r="N14">
        <v>9</v>
      </c>
      <c r="P14">
        <f t="shared" si="0"/>
        <v>100</v>
      </c>
      <c r="Q14">
        <f t="shared" si="1"/>
        <v>0</v>
      </c>
    </row>
    <row r="15" spans="1:20" x14ac:dyDescent="0.25">
      <c r="B15">
        <v>2938</v>
      </c>
      <c r="C15">
        <v>11560</v>
      </c>
      <c r="D15" t="s">
        <v>45</v>
      </c>
      <c r="E15">
        <v>2834</v>
      </c>
      <c r="F15">
        <v>1</v>
      </c>
      <c r="G15">
        <v>9.76</v>
      </c>
      <c r="H15" t="s">
        <v>46</v>
      </c>
      <c r="I15" s="1">
        <v>9760</v>
      </c>
      <c r="J15" s="2">
        <v>0.48204861111111108</v>
      </c>
      <c r="K15">
        <v>911125</v>
      </c>
      <c r="L15">
        <v>123</v>
      </c>
      <c r="M15" t="s">
        <v>47</v>
      </c>
      <c r="N15">
        <v>9</v>
      </c>
      <c r="P15">
        <f t="shared" si="0"/>
        <v>100</v>
      </c>
      <c r="Q15">
        <f t="shared" si="1"/>
        <v>0</v>
      </c>
    </row>
    <row r="16" spans="1:20" x14ac:dyDescent="0.25">
      <c r="B16">
        <v>321</v>
      </c>
      <c r="C16">
        <v>20127</v>
      </c>
      <c r="D16" t="s">
        <v>45</v>
      </c>
      <c r="E16">
        <v>2313</v>
      </c>
      <c r="F16">
        <v>24</v>
      </c>
      <c r="G16">
        <v>34.5</v>
      </c>
      <c r="H16" t="s">
        <v>49</v>
      </c>
      <c r="I16" s="1">
        <v>828000</v>
      </c>
      <c r="J16" s="2">
        <v>0.37827546296296299</v>
      </c>
      <c r="K16">
        <v>98891</v>
      </c>
      <c r="L16">
        <v>165</v>
      </c>
      <c r="M16" t="s">
        <v>52</v>
      </c>
      <c r="N16">
        <v>9</v>
      </c>
      <c r="P16">
        <f t="shared" si="0"/>
        <v>0</v>
      </c>
      <c r="Q16">
        <f t="shared" si="1"/>
        <v>902</v>
      </c>
    </row>
    <row r="17" spans="2:17" x14ac:dyDescent="0.25">
      <c r="B17">
        <v>322</v>
      </c>
      <c r="C17">
        <v>20127</v>
      </c>
      <c r="D17" t="s">
        <v>45</v>
      </c>
      <c r="E17">
        <v>2313</v>
      </c>
      <c r="F17">
        <v>1</v>
      </c>
      <c r="G17">
        <v>34.5</v>
      </c>
      <c r="H17" t="s">
        <v>49</v>
      </c>
      <c r="I17" s="1">
        <v>34500</v>
      </c>
      <c r="J17" s="2">
        <v>0.37827546296296299</v>
      </c>
      <c r="K17">
        <v>98892</v>
      </c>
      <c r="L17">
        <v>165</v>
      </c>
      <c r="M17" t="s">
        <v>52</v>
      </c>
      <c r="N17">
        <v>9</v>
      </c>
      <c r="P17">
        <f t="shared" si="0"/>
        <v>0</v>
      </c>
      <c r="Q17">
        <f t="shared" si="1"/>
        <v>902</v>
      </c>
    </row>
    <row r="18" spans="2:17" x14ac:dyDescent="0.25">
      <c r="B18" t="s">
        <v>51</v>
      </c>
      <c r="P18">
        <f t="shared" si="0"/>
        <v>0</v>
      </c>
      <c r="Q18">
        <f t="shared" si="1"/>
        <v>0</v>
      </c>
    </row>
    <row r="19" spans="2:17" x14ac:dyDescent="0.25">
      <c r="B19">
        <v>323</v>
      </c>
      <c r="C19">
        <v>20127</v>
      </c>
      <c r="D19" t="s">
        <v>45</v>
      </c>
      <c r="E19">
        <v>2313</v>
      </c>
      <c r="F19">
        <v>1</v>
      </c>
      <c r="G19">
        <v>34.5</v>
      </c>
      <c r="H19" t="s">
        <v>49</v>
      </c>
      <c r="I19" s="1">
        <v>34500</v>
      </c>
      <c r="J19" s="2">
        <v>0.37827546296296299</v>
      </c>
      <c r="K19">
        <v>98893</v>
      </c>
      <c r="L19">
        <v>165</v>
      </c>
      <c r="M19" t="s">
        <v>52</v>
      </c>
      <c r="N19">
        <v>9</v>
      </c>
      <c r="P19">
        <f t="shared" si="0"/>
        <v>0</v>
      </c>
      <c r="Q19">
        <f t="shared" si="1"/>
        <v>902</v>
      </c>
    </row>
    <row r="20" spans="2:17" x14ac:dyDescent="0.25">
      <c r="B20">
        <v>324</v>
      </c>
      <c r="C20">
        <v>20127</v>
      </c>
      <c r="D20" t="s">
        <v>45</v>
      </c>
      <c r="E20">
        <v>2313</v>
      </c>
      <c r="F20">
        <v>5</v>
      </c>
      <c r="G20">
        <v>34.5</v>
      </c>
      <c r="H20" t="s">
        <v>49</v>
      </c>
      <c r="I20" s="1">
        <v>172500</v>
      </c>
      <c r="J20" s="2">
        <v>0.37827546296296299</v>
      </c>
      <c r="K20">
        <v>98894</v>
      </c>
      <c r="L20">
        <v>165</v>
      </c>
      <c r="M20" t="s">
        <v>52</v>
      </c>
      <c r="N20">
        <v>9</v>
      </c>
      <c r="P20">
        <f t="shared" si="0"/>
        <v>0</v>
      </c>
      <c r="Q20">
        <f t="shared" si="1"/>
        <v>902</v>
      </c>
    </row>
    <row r="21" spans="2:17" x14ac:dyDescent="0.25">
      <c r="B21">
        <v>325</v>
      </c>
      <c r="C21">
        <v>20127</v>
      </c>
      <c r="D21" t="s">
        <v>45</v>
      </c>
      <c r="E21">
        <v>2313</v>
      </c>
      <c r="F21">
        <v>1</v>
      </c>
      <c r="G21">
        <v>34.5</v>
      </c>
      <c r="H21" t="s">
        <v>49</v>
      </c>
      <c r="I21" s="1">
        <v>34500</v>
      </c>
      <c r="J21" s="2">
        <v>0.37827546296296299</v>
      </c>
      <c r="K21">
        <v>98895</v>
      </c>
      <c r="L21">
        <v>165</v>
      </c>
      <c r="M21" t="s">
        <v>52</v>
      </c>
      <c r="N21">
        <v>9</v>
      </c>
      <c r="P21">
        <f t="shared" si="0"/>
        <v>0</v>
      </c>
      <c r="Q21">
        <f t="shared" si="1"/>
        <v>902</v>
      </c>
    </row>
    <row r="22" spans="2:17" x14ac:dyDescent="0.25">
      <c r="B22">
        <v>326</v>
      </c>
      <c r="C22">
        <v>20127</v>
      </c>
      <c r="D22" t="s">
        <v>45</v>
      </c>
      <c r="E22">
        <v>2313</v>
      </c>
      <c r="F22">
        <v>1</v>
      </c>
      <c r="G22">
        <v>34.5</v>
      </c>
      <c r="H22" t="s">
        <v>49</v>
      </c>
      <c r="I22" s="1">
        <v>34500</v>
      </c>
      <c r="J22" s="2">
        <v>0.37827546296296299</v>
      </c>
      <c r="K22">
        <v>98896</v>
      </c>
      <c r="L22">
        <v>165</v>
      </c>
      <c r="M22" t="s">
        <v>52</v>
      </c>
      <c r="N22">
        <v>9</v>
      </c>
      <c r="P22">
        <f t="shared" si="0"/>
        <v>0</v>
      </c>
      <c r="Q22">
        <f t="shared" si="1"/>
        <v>902</v>
      </c>
    </row>
    <row r="23" spans="2:17" x14ac:dyDescent="0.25">
      <c r="B23">
        <v>327</v>
      </c>
      <c r="C23">
        <v>20127</v>
      </c>
      <c r="D23" t="s">
        <v>45</v>
      </c>
      <c r="E23">
        <v>2313</v>
      </c>
      <c r="F23">
        <v>1</v>
      </c>
      <c r="G23">
        <v>34.5</v>
      </c>
      <c r="H23" t="s">
        <v>49</v>
      </c>
      <c r="I23" s="1">
        <v>34500</v>
      </c>
      <c r="J23" s="2">
        <v>0.37827546296296299</v>
      </c>
      <c r="K23">
        <v>98897</v>
      </c>
      <c r="L23">
        <v>165</v>
      </c>
      <c r="M23" t="s">
        <v>52</v>
      </c>
      <c r="N23">
        <v>9</v>
      </c>
      <c r="P23">
        <f t="shared" si="0"/>
        <v>0</v>
      </c>
      <c r="Q23">
        <f t="shared" si="1"/>
        <v>902</v>
      </c>
    </row>
    <row r="24" spans="2:17" x14ac:dyDescent="0.25">
      <c r="B24" t="s">
        <v>51</v>
      </c>
      <c r="P24">
        <f t="shared" si="0"/>
        <v>0</v>
      </c>
      <c r="Q24">
        <f t="shared" si="1"/>
        <v>0</v>
      </c>
    </row>
    <row r="25" spans="2:17" x14ac:dyDescent="0.25">
      <c r="B25">
        <v>328</v>
      </c>
      <c r="C25">
        <v>20127</v>
      </c>
      <c r="D25" t="s">
        <v>45</v>
      </c>
      <c r="E25">
        <v>2313</v>
      </c>
      <c r="F25">
        <v>60</v>
      </c>
      <c r="G25">
        <v>34.5</v>
      </c>
      <c r="H25" t="s">
        <v>49</v>
      </c>
      <c r="I25" s="1">
        <v>2070000</v>
      </c>
      <c r="J25" s="2">
        <v>0.37827546296296299</v>
      </c>
      <c r="K25">
        <v>98898</v>
      </c>
      <c r="L25">
        <v>165</v>
      </c>
      <c r="M25" t="s">
        <v>52</v>
      </c>
      <c r="N25">
        <v>9</v>
      </c>
      <c r="P25">
        <f t="shared" si="0"/>
        <v>0</v>
      </c>
      <c r="Q25">
        <f t="shared" si="1"/>
        <v>902</v>
      </c>
    </row>
    <row r="26" spans="2:17" x14ac:dyDescent="0.25">
      <c r="B26">
        <v>329</v>
      </c>
      <c r="C26">
        <v>20127</v>
      </c>
      <c r="D26" t="s">
        <v>45</v>
      </c>
      <c r="E26">
        <v>2313</v>
      </c>
      <c r="F26">
        <v>2</v>
      </c>
      <c r="G26">
        <v>34.5</v>
      </c>
      <c r="H26" t="s">
        <v>49</v>
      </c>
      <c r="I26" s="1">
        <v>69000</v>
      </c>
      <c r="J26" s="2">
        <v>0.37827546296296299</v>
      </c>
      <c r="K26">
        <v>98899</v>
      </c>
      <c r="L26">
        <v>165</v>
      </c>
      <c r="M26" t="s">
        <v>52</v>
      </c>
      <c r="N26">
        <v>9</v>
      </c>
      <c r="P26">
        <f t="shared" si="0"/>
        <v>0</v>
      </c>
      <c r="Q26">
        <f t="shared" si="1"/>
        <v>902</v>
      </c>
    </row>
    <row r="27" spans="2:17" x14ac:dyDescent="0.25">
      <c r="B27">
        <v>330</v>
      </c>
      <c r="C27">
        <v>20127</v>
      </c>
      <c r="D27" t="s">
        <v>45</v>
      </c>
      <c r="E27">
        <v>2313</v>
      </c>
      <c r="F27">
        <v>2</v>
      </c>
      <c r="G27">
        <v>34.5</v>
      </c>
      <c r="H27" t="s">
        <v>49</v>
      </c>
      <c r="I27" s="1">
        <v>69000</v>
      </c>
      <c r="J27" s="2">
        <v>0.37827546296296299</v>
      </c>
      <c r="K27">
        <v>98900</v>
      </c>
      <c r="L27">
        <v>165</v>
      </c>
      <c r="M27" t="s">
        <v>52</v>
      </c>
      <c r="N27">
        <v>9</v>
      </c>
      <c r="P27">
        <f t="shared" si="0"/>
        <v>0</v>
      </c>
      <c r="Q27">
        <f t="shared" si="1"/>
        <v>902</v>
      </c>
    </row>
    <row r="28" spans="2:17" x14ac:dyDescent="0.25">
      <c r="B28">
        <v>331</v>
      </c>
      <c r="C28">
        <v>20127</v>
      </c>
      <c r="D28" t="s">
        <v>45</v>
      </c>
      <c r="E28">
        <v>2313</v>
      </c>
      <c r="F28">
        <v>10</v>
      </c>
      <c r="G28">
        <v>34.5</v>
      </c>
      <c r="H28" t="s">
        <v>49</v>
      </c>
      <c r="I28" s="1">
        <v>345000</v>
      </c>
      <c r="J28" s="2">
        <v>0.37827546296296299</v>
      </c>
      <c r="K28">
        <v>98901</v>
      </c>
      <c r="L28">
        <v>165</v>
      </c>
      <c r="M28" t="s">
        <v>52</v>
      </c>
      <c r="N28">
        <v>9</v>
      </c>
      <c r="P28">
        <f t="shared" si="0"/>
        <v>0</v>
      </c>
      <c r="Q28">
        <f t="shared" si="1"/>
        <v>902</v>
      </c>
    </row>
    <row r="29" spans="2:17" x14ac:dyDescent="0.25">
      <c r="B29">
        <v>332</v>
      </c>
      <c r="C29">
        <v>20127</v>
      </c>
      <c r="D29" t="s">
        <v>45</v>
      </c>
      <c r="E29">
        <v>2313</v>
      </c>
      <c r="F29">
        <v>1</v>
      </c>
      <c r="G29">
        <v>34.5</v>
      </c>
      <c r="H29" t="s">
        <v>49</v>
      </c>
      <c r="I29" s="1">
        <v>34500</v>
      </c>
      <c r="J29" s="2">
        <v>0.37827546296296299</v>
      </c>
      <c r="K29">
        <v>98902</v>
      </c>
      <c r="L29">
        <v>165</v>
      </c>
      <c r="M29" t="s">
        <v>52</v>
      </c>
      <c r="N29">
        <v>9</v>
      </c>
      <c r="P29">
        <f t="shared" si="0"/>
        <v>0</v>
      </c>
      <c r="Q29">
        <f t="shared" si="1"/>
        <v>902</v>
      </c>
    </row>
    <row r="30" spans="2:17" x14ac:dyDescent="0.25">
      <c r="B30" t="s">
        <v>51</v>
      </c>
      <c r="P30">
        <f t="shared" si="0"/>
        <v>0</v>
      </c>
      <c r="Q30">
        <f t="shared" si="1"/>
        <v>0</v>
      </c>
    </row>
    <row r="31" spans="2:17" x14ac:dyDescent="0.25">
      <c r="B31">
        <v>333</v>
      </c>
      <c r="C31">
        <v>20127</v>
      </c>
      <c r="D31" t="s">
        <v>45</v>
      </c>
      <c r="E31">
        <v>2313</v>
      </c>
      <c r="F31">
        <v>1</v>
      </c>
      <c r="G31">
        <v>34.5</v>
      </c>
      <c r="H31" t="s">
        <v>49</v>
      </c>
      <c r="I31" s="1">
        <v>34500</v>
      </c>
      <c r="J31" s="2">
        <v>0.37827546296296299</v>
      </c>
      <c r="K31">
        <v>98903</v>
      </c>
      <c r="L31">
        <v>165</v>
      </c>
      <c r="M31" t="s">
        <v>52</v>
      </c>
      <c r="N31">
        <v>9</v>
      </c>
      <c r="P31">
        <f t="shared" si="0"/>
        <v>0</v>
      </c>
      <c r="Q31">
        <f t="shared" si="1"/>
        <v>902</v>
      </c>
    </row>
    <row r="32" spans="2:17" x14ac:dyDescent="0.25">
      <c r="B32">
        <v>334</v>
      </c>
      <c r="C32">
        <v>20127</v>
      </c>
      <c r="D32" t="s">
        <v>45</v>
      </c>
      <c r="E32">
        <v>2313</v>
      </c>
      <c r="F32">
        <v>3</v>
      </c>
      <c r="G32">
        <v>34.5</v>
      </c>
      <c r="H32" t="s">
        <v>49</v>
      </c>
      <c r="I32" s="1">
        <v>103500</v>
      </c>
      <c r="J32" s="2">
        <v>0.37827546296296299</v>
      </c>
      <c r="K32">
        <v>98904</v>
      </c>
      <c r="L32">
        <v>165</v>
      </c>
      <c r="M32" t="s">
        <v>52</v>
      </c>
      <c r="N32">
        <v>9</v>
      </c>
      <c r="P32">
        <f t="shared" si="0"/>
        <v>0</v>
      </c>
      <c r="Q32">
        <f t="shared" si="1"/>
        <v>902</v>
      </c>
    </row>
    <row r="33" spans="2:17" x14ac:dyDescent="0.25">
      <c r="B33">
        <v>335</v>
      </c>
      <c r="C33">
        <v>20127</v>
      </c>
      <c r="D33" t="s">
        <v>45</v>
      </c>
      <c r="E33">
        <v>2313</v>
      </c>
      <c r="F33">
        <v>1</v>
      </c>
      <c r="G33">
        <v>34.5</v>
      </c>
      <c r="H33" t="s">
        <v>49</v>
      </c>
      <c r="I33" s="1">
        <v>34500</v>
      </c>
      <c r="J33" s="2">
        <v>0.37827546296296299</v>
      </c>
      <c r="K33">
        <v>98905</v>
      </c>
      <c r="L33">
        <v>165</v>
      </c>
      <c r="M33" t="s">
        <v>52</v>
      </c>
      <c r="N33">
        <v>9</v>
      </c>
      <c r="P33">
        <f t="shared" si="0"/>
        <v>0</v>
      </c>
      <c r="Q33">
        <f t="shared" si="1"/>
        <v>902</v>
      </c>
    </row>
    <row r="34" spans="2:17" x14ac:dyDescent="0.25">
      <c r="B34">
        <v>336</v>
      </c>
      <c r="C34">
        <v>20127</v>
      </c>
      <c r="D34" t="s">
        <v>45</v>
      </c>
      <c r="E34">
        <v>2313</v>
      </c>
      <c r="F34">
        <v>2</v>
      </c>
      <c r="G34">
        <v>34.5</v>
      </c>
      <c r="H34" t="s">
        <v>49</v>
      </c>
      <c r="I34" s="1">
        <v>69000</v>
      </c>
      <c r="J34" s="2">
        <v>0.37827546296296299</v>
      </c>
      <c r="K34">
        <v>98906</v>
      </c>
      <c r="L34">
        <v>165</v>
      </c>
      <c r="M34" t="s">
        <v>52</v>
      </c>
      <c r="N34">
        <v>9</v>
      </c>
      <c r="P34">
        <f t="shared" si="0"/>
        <v>0</v>
      </c>
      <c r="Q34">
        <f t="shared" si="1"/>
        <v>902</v>
      </c>
    </row>
    <row r="35" spans="2:17" x14ac:dyDescent="0.25">
      <c r="B35">
        <v>346</v>
      </c>
      <c r="C35">
        <v>20127</v>
      </c>
      <c r="D35" t="s">
        <v>45</v>
      </c>
      <c r="E35">
        <v>2313</v>
      </c>
      <c r="F35">
        <v>2</v>
      </c>
      <c r="G35">
        <v>34.5</v>
      </c>
      <c r="H35" t="s">
        <v>49</v>
      </c>
      <c r="I35" s="1">
        <v>69000</v>
      </c>
      <c r="J35" s="2">
        <v>0.37902777777777774</v>
      </c>
      <c r="K35">
        <v>114004</v>
      </c>
      <c r="L35">
        <v>165</v>
      </c>
      <c r="M35" t="s">
        <v>52</v>
      </c>
      <c r="N35">
        <v>9</v>
      </c>
      <c r="P35">
        <f t="shared" si="0"/>
        <v>0</v>
      </c>
      <c r="Q35">
        <f t="shared" si="1"/>
        <v>902</v>
      </c>
    </row>
    <row r="36" spans="2:17" x14ac:dyDescent="0.25">
      <c r="B36" t="s">
        <v>51</v>
      </c>
      <c r="P36">
        <f t="shared" si="0"/>
        <v>0</v>
      </c>
      <c r="Q36">
        <f t="shared" si="1"/>
        <v>0</v>
      </c>
    </row>
    <row r="37" spans="2:17" x14ac:dyDescent="0.25">
      <c r="B37">
        <v>347</v>
      </c>
      <c r="C37">
        <v>20127</v>
      </c>
      <c r="D37" t="s">
        <v>45</v>
      </c>
      <c r="E37">
        <v>2313</v>
      </c>
      <c r="F37">
        <v>5</v>
      </c>
      <c r="G37">
        <v>34.5</v>
      </c>
      <c r="H37" t="s">
        <v>49</v>
      </c>
      <c r="I37" s="1">
        <v>172500</v>
      </c>
      <c r="J37" s="2">
        <v>0.37902777777777774</v>
      </c>
      <c r="K37">
        <v>114005</v>
      </c>
      <c r="L37">
        <v>165</v>
      </c>
      <c r="M37" t="s">
        <v>52</v>
      </c>
      <c r="N37">
        <v>9</v>
      </c>
      <c r="P37">
        <f t="shared" si="0"/>
        <v>0</v>
      </c>
      <c r="Q37">
        <f t="shared" si="1"/>
        <v>902</v>
      </c>
    </row>
    <row r="38" spans="2:17" x14ac:dyDescent="0.25">
      <c r="B38">
        <v>348</v>
      </c>
      <c r="C38">
        <v>20127</v>
      </c>
      <c r="D38" t="s">
        <v>45</v>
      </c>
      <c r="E38">
        <v>2313</v>
      </c>
      <c r="F38">
        <v>1</v>
      </c>
      <c r="G38">
        <v>34.5</v>
      </c>
      <c r="H38" t="s">
        <v>49</v>
      </c>
      <c r="I38" s="1">
        <v>34500</v>
      </c>
      <c r="J38" s="2">
        <v>0.37902777777777774</v>
      </c>
      <c r="K38">
        <v>114006</v>
      </c>
      <c r="L38">
        <v>165</v>
      </c>
      <c r="M38" t="s">
        <v>52</v>
      </c>
      <c r="N38">
        <v>9</v>
      </c>
      <c r="P38">
        <f t="shared" si="0"/>
        <v>0</v>
      </c>
      <c r="Q38">
        <f t="shared" si="1"/>
        <v>902</v>
      </c>
    </row>
    <row r="39" spans="2:17" x14ac:dyDescent="0.25">
      <c r="B39">
        <v>349</v>
      </c>
      <c r="C39">
        <v>20127</v>
      </c>
      <c r="D39" t="s">
        <v>45</v>
      </c>
      <c r="E39">
        <v>2313</v>
      </c>
      <c r="F39">
        <v>3</v>
      </c>
      <c r="G39">
        <v>34.5</v>
      </c>
      <c r="H39" t="s">
        <v>49</v>
      </c>
      <c r="I39" s="1">
        <v>103500</v>
      </c>
      <c r="J39" s="2">
        <v>0.37902777777777774</v>
      </c>
      <c r="K39">
        <v>114007</v>
      </c>
      <c r="L39">
        <v>165</v>
      </c>
      <c r="M39" t="s">
        <v>52</v>
      </c>
      <c r="N39">
        <v>9</v>
      </c>
      <c r="P39">
        <f t="shared" si="0"/>
        <v>0</v>
      </c>
      <c r="Q39">
        <f t="shared" si="1"/>
        <v>902</v>
      </c>
    </row>
    <row r="40" spans="2:17" x14ac:dyDescent="0.25">
      <c r="B40">
        <v>350</v>
      </c>
      <c r="C40">
        <v>20127</v>
      </c>
      <c r="D40" t="s">
        <v>45</v>
      </c>
      <c r="E40">
        <v>2313</v>
      </c>
      <c r="F40">
        <v>10</v>
      </c>
      <c r="G40">
        <v>34.5</v>
      </c>
      <c r="H40" t="s">
        <v>49</v>
      </c>
      <c r="I40" s="1">
        <v>345000</v>
      </c>
      <c r="J40" s="2">
        <v>0.37902777777777774</v>
      </c>
      <c r="K40">
        <v>114008</v>
      </c>
      <c r="L40">
        <v>165</v>
      </c>
      <c r="M40" t="s">
        <v>52</v>
      </c>
      <c r="N40">
        <v>9</v>
      </c>
      <c r="P40">
        <f t="shared" si="0"/>
        <v>0</v>
      </c>
      <c r="Q40">
        <f t="shared" si="1"/>
        <v>902</v>
      </c>
    </row>
    <row r="41" spans="2:17" x14ac:dyDescent="0.25">
      <c r="B41">
        <v>351</v>
      </c>
      <c r="C41">
        <v>20127</v>
      </c>
      <c r="D41" t="s">
        <v>45</v>
      </c>
      <c r="E41">
        <v>2313</v>
      </c>
      <c r="F41">
        <v>50</v>
      </c>
      <c r="G41">
        <v>34.5</v>
      </c>
      <c r="H41" t="s">
        <v>49</v>
      </c>
      <c r="I41" s="1">
        <v>1725000</v>
      </c>
      <c r="J41" s="2">
        <v>0.37902777777777774</v>
      </c>
      <c r="K41">
        <v>114009</v>
      </c>
      <c r="L41">
        <v>165</v>
      </c>
      <c r="M41" t="s">
        <v>52</v>
      </c>
      <c r="N41">
        <v>9</v>
      </c>
      <c r="P41">
        <f t="shared" si="0"/>
        <v>0</v>
      </c>
      <c r="Q41">
        <f t="shared" si="1"/>
        <v>902</v>
      </c>
    </row>
    <row r="42" spans="2:17" x14ac:dyDescent="0.25">
      <c r="B42" t="s">
        <v>51</v>
      </c>
      <c r="P42">
        <f t="shared" si="0"/>
        <v>0</v>
      </c>
      <c r="Q42">
        <f t="shared" si="1"/>
        <v>0</v>
      </c>
    </row>
    <row r="43" spans="2:17" x14ac:dyDescent="0.25">
      <c r="B43">
        <v>352</v>
      </c>
      <c r="C43">
        <v>20127</v>
      </c>
      <c r="D43" t="s">
        <v>45</v>
      </c>
      <c r="E43">
        <v>2313</v>
      </c>
      <c r="F43">
        <v>1</v>
      </c>
      <c r="G43">
        <v>34.5</v>
      </c>
      <c r="H43" t="s">
        <v>49</v>
      </c>
      <c r="I43" s="1">
        <v>34500</v>
      </c>
      <c r="J43" s="2">
        <v>0.37902777777777774</v>
      </c>
      <c r="K43">
        <v>114010</v>
      </c>
      <c r="L43">
        <v>165</v>
      </c>
      <c r="M43" t="s">
        <v>52</v>
      </c>
      <c r="N43">
        <v>9</v>
      </c>
      <c r="P43">
        <f t="shared" si="0"/>
        <v>0</v>
      </c>
      <c r="Q43">
        <f t="shared" si="1"/>
        <v>902</v>
      </c>
    </row>
    <row r="44" spans="2:17" x14ac:dyDescent="0.25">
      <c r="B44">
        <v>353</v>
      </c>
      <c r="C44">
        <v>20127</v>
      </c>
      <c r="D44" t="s">
        <v>45</v>
      </c>
      <c r="E44">
        <v>2313</v>
      </c>
      <c r="F44">
        <v>12</v>
      </c>
      <c r="G44">
        <v>34.5</v>
      </c>
      <c r="H44" t="s">
        <v>49</v>
      </c>
      <c r="I44" s="1">
        <v>414000</v>
      </c>
      <c r="J44" s="2">
        <v>0.37902777777777774</v>
      </c>
      <c r="K44">
        <v>114011</v>
      </c>
      <c r="L44">
        <v>165</v>
      </c>
      <c r="M44" t="s">
        <v>52</v>
      </c>
      <c r="N44">
        <v>9</v>
      </c>
      <c r="P44">
        <f t="shared" si="0"/>
        <v>0</v>
      </c>
      <c r="Q44">
        <f t="shared" si="1"/>
        <v>902</v>
      </c>
    </row>
    <row r="45" spans="2:17" x14ac:dyDescent="0.25">
      <c r="B45">
        <v>1091</v>
      </c>
      <c r="C45">
        <v>20480</v>
      </c>
      <c r="D45" t="s">
        <v>45</v>
      </c>
      <c r="E45">
        <v>2834</v>
      </c>
      <c r="F45">
        <v>1</v>
      </c>
      <c r="G45">
        <v>9.82</v>
      </c>
      <c r="H45" t="s">
        <v>46</v>
      </c>
      <c r="I45" s="1">
        <v>9820</v>
      </c>
      <c r="J45" s="2">
        <v>0.40157407407407408</v>
      </c>
      <c r="K45">
        <v>386857</v>
      </c>
      <c r="L45">
        <v>123</v>
      </c>
      <c r="M45" t="s">
        <v>47</v>
      </c>
      <c r="N45">
        <v>9</v>
      </c>
      <c r="P45">
        <f t="shared" si="0"/>
        <v>100</v>
      </c>
      <c r="Q45">
        <f t="shared" si="1"/>
        <v>0</v>
      </c>
    </row>
    <row r="46" spans="2:17" x14ac:dyDescent="0.25">
      <c r="B46">
        <v>1521</v>
      </c>
      <c r="C46">
        <v>20666</v>
      </c>
      <c r="D46" t="s">
        <v>45</v>
      </c>
      <c r="E46">
        <v>2327</v>
      </c>
      <c r="F46">
        <v>2</v>
      </c>
      <c r="G46" s="1">
        <v>1145</v>
      </c>
      <c r="H46" t="s">
        <v>49</v>
      </c>
      <c r="I46" s="1">
        <v>2290000</v>
      </c>
      <c r="J46" s="2">
        <v>0.41453703703703698</v>
      </c>
      <c r="K46">
        <v>492797</v>
      </c>
      <c r="L46">
        <v>192</v>
      </c>
      <c r="M46" t="s">
        <v>50</v>
      </c>
      <c r="N46">
        <v>9</v>
      </c>
      <c r="P46">
        <f t="shared" si="0"/>
        <v>0</v>
      </c>
      <c r="Q46">
        <f t="shared" si="1"/>
        <v>135</v>
      </c>
    </row>
    <row r="47" spans="2:17" x14ac:dyDescent="0.25">
      <c r="B47">
        <v>1524</v>
      </c>
      <c r="C47">
        <v>20666</v>
      </c>
      <c r="D47" t="s">
        <v>45</v>
      </c>
      <c r="E47">
        <v>2327</v>
      </c>
      <c r="F47">
        <v>1</v>
      </c>
      <c r="G47" s="1">
        <v>1145</v>
      </c>
      <c r="H47" t="s">
        <v>49</v>
      </c>
      <c r="I47" s="1">
        <v>1145000</v>
      </c>
      <c r="J47" s="2">
        <v>0.41465277777777776</v>
      </c>
      <c r="K47">
        <v>493621</v>
      </c>
      <c r="L47">
        <v>192</v>
      </c>
      <c r="M47" t="s">
        <v>50</v>
      </c>
      <c r="N47">
        <v>9</v>
      </c>
      <c r="P47">
        <f t="shared" si="0"/>
        <v>0</v>
      </c>
      <c r="Q47">
        <f t="shared" si="1"/>
        <v>135</v>
      </c>
    </row>
    <row r="48" spans="2:17" x14ac:dyDescent="0.25">
      <c r="B48" t="s">
        <v>53</v>
      </c>
      <c r="P48">
        <f t="shared" si="0"/>
        <v>0</v>
      </c>
      <c r="Q48">
        <f t="shared" si="1"/>
        <v>0</v>
      </c>
    </row>
    <row r="49" spans="1:20" x14ac:dyDescent="0.25">
      <c r="A49" t="s">
        <v>54</v>
      </c>
      <c r="P49">
        <f t="shared" si="0"/>
        <v>0</v>
      </c>
      <c r="Q49">
        <f t="shared" si="1"/>
        <v>0</v>
      </c>
    </row>
    <row r="50" spans="1:20" x14ac:dyDescent="0.25"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</v>
      </c>
      <c r="H50" t="s">
        <v>2</v>
      </c>
      <c r="I50">
        <v>2</v>
      </c>
      <c r="P50">
        <f t="shared" si="0"/>
        <v>0</v>
      </c>
      <c r="Q50">
        <f t="shared" si="1"/>
        <v>0</v>
      </c>
    </row>
    <row r="51" spans="1:20" x14ac:dyDescent="0.25">
      <c r="B51" t="s">
        <v>7</v>
      </c>
      <c r="C51" t="s">
        <v>2</v>
      </c>
      <c r="D51">
        <v>20180612</v>
      </c>
      <c r="E51" t="s">
        <v>8</v>
      </c>
      <c r="F51" t="s">
        <v>9</v>
      </c>
      <c r="G51" t="s">
        <v>10</v>
      </c>
      <c r="H51" t="s">
        <v>11</v>
      </c>
      <c r="I51" t="s">
        <v>12</v>
      </c>
      <c r="J51" t="s">
        <v>13</v>
      </c>
      <c r="K51" t="s">
        <v>14</v>
      </c>
      <c r="L51" t="s">
        <v>15</v>
      </c>
      <c r="M51" t="s">
        <v>16</v>
      </c>
      <c r="N51" t="s">
        <v>17</v>
      </c>
      <c r="O51" t="s">
        <v>18</v>
      </c>
      <c r="P51">
        <f t="shared" si="0"/>
        <v>0</v>
      </c>
      <c r="Q51">
        <f t="shared" si="1"/>
        <v>0</v>
      </c>
      <c r="R51" t="s">
        <v>19</v>
      </c>
      <c r="S51" t="s">
        <v>20</v>
      </c>
    </row>
    <row r="52" spans="1:20" x14ac:dyDescent="0.25">
      <c r="P52">
        <f t="shared" si="0"/>
        <v>0</v>
      </c>
      <c r="Q52">
        <f t="shared" si="1"/>
        <v>0</v>
      </c>
    </row>
    <row r="53" spans="1:20" x14ac:dyDescent="0.25">
      <c r="B53" t="s">
        <v>21</v>
      </c>
      <c r="C53" t="s">
        <v>22</v>
      </c>
      <c r="D53" t="s">
        <v>23</v>
      </c>
      <c r="E53" t="s">
        <v>24</v>
      </c>
      <c r="F53" t="s">
        <v>25</v>
      </c>
      <c r="G53" t="s">
        <v>26</v>
      </c>
      <c r="H53" t="s">
        <v>27</v>
      </c>
      <c r="I53" t="s">
        <v>28</v>
      </c>
      <c r="J53" t="s">
        <v>29</v>
      </c>
      <c r="K53" t="s">
        <v>30</v>
      </c>
      <c r="L53" t="s">
        <v>31</v>
      </c>
      <c r="M53" t="s">
        <v>32</v>
      </c>
      <c r="N53" t="s">
        <v>33</v>
      </c>
      <c r="O53" t="s">
        <v>34</v>
      </c>
      <c r="P53">
        <f t="shared" si="0"/>
        <v>0</v>
      </c>
      <c r="Q53">
        <f t="shared" si="1"/>
        <v>0</v>
      </c>
      <c r="R53" t="s">
        <v>35</v>
      </c>
      <c r="S53" t="s">
        <v>36</v>
      </c>
      <c r="T53" t="s">
        <v>37</v>
      </c>
    </row>
    <row r="54" spans="1:20" x14ac:dyDescent="0.25">
      <c r="B54" t="s">
        <v>38</v>
      </c>
      <c r="C54" t="s">
        <v>39</v>
      </c>
      <c r="D54" t="s">
        <v>38</v>
      </c>
      <c r="E54" t="s">
        <v>38</v>
      </c>
      <c r="F54" t="s">
        <v>40</v>
      </c>
      <c r="G54" t="s">
        <v>38</v>
      </c>
      <c r="H54" t="s">
        <v>41</v>
      </c>
      <c r="I54" t="s">
        <v>42</v>
      </c>
      <c r="J54" t="s">
        <v>39</v>
      </c>
      <c r="K54" t="s">
        <v>38</v>
      </c>
      <c r="L54" t="s">
        <v>38</v>
      </c>
      <c r="M54" t="s">
        <v>43</v>
      </c>
      <c r="N54" t="s">
        <v>43</v>
      </c>
      <c r="O54" t="s">
        <v>44</v>
      </c>
      <c r="P54">
        <f t="shared" si="0"/>
        <v>0</v>
      </c>
      <c r="Q54">
        <f t="shared" si="1"/>
        <v>0</v>
      </c>
    </row>
    <row r="55" spans="1:20" x14ac:dyDescent="0.25">
      <c r="B55">
        <v>1661</v>
      </c>
      <c r="C55">
        <v>20721</v>
      </c>
      <c r="D55" t="s">
        <v>45</v>
      </c>
      <c r="E55">
        <v>2456</v>
      </c>
      <c r="F55">
        <v>1</v>
      </c>
      <c r="G55">
        <v>200.5</v>
      </c>
      <c r="H55" t="s">
        <v>46</v>
      </c>
      <c r="I55" s="1">
        <v>200500</v>
      </c>
      <c r="J55" s="2">
        <v>0.42017361111111112</v>
      </c>
      <c r="K55">
        <v>533521</v>
      </c>
      <c r="L55">
        <v>191</v>
      </c>
      <c r="M55" t="s">
        <v>55</v>
      </c>
      <c r="N55">
        <v>9</v>
      </c>
      <c r="P55">
        <f t="shared" si="0"/>
        <v>10</v>
      </c>
      <c r="Q55">
        <f t="shared" si="1"/>
        <v>0</v>
      </c>
    </row>
    <row r="56" spans="1:20" x14ac:dyDescent="0.25">
      <c r="B56">
        <v>2478</v>
      </c>
      <c r="C56">
        <v>21240</v>
      </c>
      <c r="D56" t="s">
        <v>45</v>
      </c>
      <c r="E56">
        <v>2327</v>
      </c>
      <c r="F56">
        <v>3</v>
      </c>
      <c r="G56" s="1">
        <v>1095</v>
      </c>
      <c r="H56" t="s">
        <v>49</v>
      </c>
      <c r="I56" s="1">
        <v>3285000</v>
      </c>
      <c r="J56" s="2">
        <v>0.45099537037037035</v>
      </c>
      <c r="K56">
        <v>741224</v>
      </c>
      <c r="L56">
        <v>192</v>
      </c>
      <c r="M56" t="s">
        <v>50</v>
      </c>
      <c r="N56">
        <v>9</v>
      </c>
      <c r="P56">
        <f t="shared" si="0"/>
        <v>0</v>
      </c>
      <c r="Q56">
        <f t="shared" si="1"/>
        <v>135</v>
      </c>
    </row>
    <row r="57" spans="1:20" x14ac:dyDescent="0.25">
      <c r="B57">
        <v>2944</v>
      </c>
      <c r="C57">
        <v>21600</v>
      </c>
      <c r="D57" t="s">
        <v>45</v>
      </c>
      <c r="E57">
        <v>2834</v>
      </c>
      <c r="F57">
        <v>1</v>
      </c>
      <c r="G57">
        <v>9.76</v>
      </c>
      <c r="H57" t="s">
        <v>46</v>
      </c>
      <c r="I57" s="1">
        <v>9760</v>
      </c>
      <c r="J57" s="2">
        <v>0.48571759259259256</v>
      </c>
      <c r="K57">
        <v>926535</v>
      </c>
      <c r="L57">
        <v>123</v>
      </c>
      <c r="M57" t="s">
        <v>47</v>
      </c>
      <c r="N57">
        <v>9</v>
      </c>
      <c r="P57">
        <f t="shared" si="0"/>
        <v>100</v>
      </c>
      <c r="Q57">
        <f t="shared" si="1"/>
        <v>0</v>
      </c>
    </row>
    <row r="58" spans="1:20" x14ac:dyDescent="0.25">
      <c r="B58">
        <v>1517</v>
      </c>
      <c r="C58">
        <v>30679</v>
      </c>
      <c r="D58" t="s">
        <v>45</v>
      </c>
      <c r="E58">
        <v>6213</v>
      </c>
      <c r="F58">
        <v>1</v>
      </c>
      <c r="G58">
        <v>72.2</v>
      </c>
      <c r="H58" t="s">
        <v>49</v>
      </c>
      <c r="I58" s="1">
        <v>72200</v>
      </c>
      <c r="J58" s="2">
        <v>0.41435185185185186</v>
      </c>
      <c r="K58">
        <v>491425</v>
      </c>
      <c r="L58">
        <v>165</v>
      </c>
      <c r="M58" t="s">
        <v>52</v>
      </c>
      <c r="N58">
        <v>9</v>
      </c>
      <c r="P58">
        <f t="shared" si="0"/>
        <v>0</v>
      </c>
      <c r="Q58">
        <f t="shared" si="1"/>
        <v>35</v>
      </c>
    </row>
    <row r="59" spans="1:20" x14ac:dyDescent="0.25">
      <c r="B59">
        <v>1518</v>
      </c>
      <c r="C59">
        <v>30679</v>
      </c>
      <c r="D59" t="s">
        <v>45</v>
      </c>
      <c r="E59">
        <v>6213</v>
      </c>
      <c r="F59">
        <v>1</v>
      </c>
      <c r="G59">
        <v>72.2</v>
      </c>
      <c r="H59" t="s">
        <v>49</v>
      </c>
      <c r="I59" s="1">
        <v>72200</v>
      </c>
      <c r="J59" s="2">
        <v>0.41435185185185186</v>
      </c>
      <c r="K59">
        <v>491426</v>
      </c>
      <c r="L59">
        <v>165</v>
      </c>
      <c r="M59" t="s">
        <v>52</v>
      </c>
      <c r="N59">
        <v>9</v>
      </c>
      <c r="P59">
        <f t="shared" si="0"/>
        <v>0</v>
      </c>
      <c r="Q59">
        <f t="shared" si="1"/>
        <v>35</v>
      </c>
    </row>
    <row r="60" spans="1:20" x14ac:dyDescent="0.25">
      <c r="B60" t="s">
        <v>51</v>
      </c>
      <c r="P60">
        <f t="shared" si="0"/>
        <v>0</v>
      </c>
      <c r="Q60">
        <f t="shared" si="1"/>
        <v>0</v>
      </c>
    </row>
    <row r="61" spans="1:20" x14ac:dyDescent="0.25">
      <c r="B61">
        <v>1519</v>
      </c>
      <c r="C61">
        <v>30679</v>
      </c>
      <c r="D61" t="s">
        <v>45</v>
      </c>
      <c r="E61">
        <v>6213</v>
      </c>
      <c r="F61">
        <v>33</v>
      </c>
      <c r="G61">
        <v>72.2</v>
      </c>
      <c r="H61" t="s">
        <v>49</v>
      </c>
      <c r="I61" s="1">
        <v>2382600</v>
      </c>
      <c r="J61" s="2">
        <v>0.41435185185185186</v>
      </c>
      <c r="K61">
        <v>491427</v>
      </c>
      <c r="L61">
        <v>165</v>
      </c>
      <c r="M61" t="s">
        <v>52</v>
      </c>
      <c r="N61">
        <v>9</v>
      </c>
      <c r="P61">
        <f t="shared" si="0"/>
        <v>0</v>
      </c>
      <c r="Q61">
        <f t="shared" si="1"/>
        <v>35</v>
      </c>
    </row>
    <row r="62" spans="1:20" x14ac:dyDescent="0.25">
      <c r="B62">
        <v>1627</v>
      </c>
      <c r="C62">
        <v>30750</v>
      </c>
      <c r="D62" t="s">
        <v>45</v>
      </c>
      <c r="E62">
        <v>2456</v>
      </c>
      <c r="F62">
        <v>1</v>
      </c>
      <c r="G62">
        <v>200</v>
      </c>
      <c r="H62" t="s">
        <v>46</v>
      </c>
      <c r="I62" s="1">
        <v>200000</v>
      </c>
      <c r="J62" s="2">
        <v>0.41936342592592596</v>
      </c>
      <c r="K62">
        <v>527827</v>
      </c>
      <c r="L62">
        <v>191</v>
      </c>
      <c r="M62" t="s">
        <v>55</v>
      </c>
      <c r="N62">
        <v>9</v>
      </c>
      <c r="P62">
        <f t="shared" si="0"/>
        <v>10</v>
      </c>
      <c r="Q62">
        <f t="shared" si="1"/>
        <v>0</v>
      </c>
    </row>
    <row r="63" spans="1:20" x14ac:dyDescent="0.25">
      <c r="B63">
        <v>3049</v>
      </c>
      <c r="C63">
        <v>31718</v>
      </c>
      <c r="D63" t="s">
        <v>45</v>
      </c>
      <c r="E63">
        <v>2834</v>
      </c>
      <c r="F63">
        <v>1</v>
      </c>
      <c r="G63">
        <v>9.76</v>
      </c>
      <c r="H63" t="s">
        <v>46</v>
      </c>
      <c r="I63" s="1">
        <v>9760</v>
      </c>
      <c r="J63" s="2">
        <v>0.50583333333333336</v>
      </c>
      <c r="K63">
        <v>1006835</v>
      </c>
      <c r="L63">
        <v>123</v>
      </c>
      <c r="M63" t="s">
        <v>47</v>
      </c>
      <c r="N63">
        <v>9</v>
      </c>
      <c r="P63">
        <f t="shared" si="0"/>
        <v>100</v>
      </c>
      <c r="Q63">
        <f t="shared" si="1"/>
        <v>0</v>
      </c>
    </row>
    <row r="64" spans="1:20" x14ac:dyDescent="0.25">
      <c r="B64">
        <v>532</v>
      </c>
      <c r="C64" t="s">
        <v>56</v>
      </c>
      <c r="D64" t="s">
        <v>45</v>
      </c>
      <c r="E64">
        <v>2834</v>
      </c>
      <c r="F64">
        <v>1</v>
      </c>
      <c r="G64">
        <v>9.83</v>
      </c>
      <c r="H64" t="s">
        <v>46</v>
      </c>
      <c r="I64" s="1">
        <v>9830</v>
      </c>
      <c r="J64" s="2">
        <v>0.38693287037037033</v>
      </c>
      <c r="K64">
        <v>230358</v>
      </c>
      <c r="L64">
        <v>123</v>
      </c>
      <c r="M64" t="s">
        <v>47</v>
      </c>
      <c r="N64">
        <v>9</v>
      </c>
      <c r="P64">
        <f t="shared" si="0"/>
        <v>100</v>
      </c>
      <c r="Q64">
        <f t="shared" si="1"/>
        <v>0</v>
      </c>
    </row>
    <row r="65" spans="2:17" x14ac:dyDescent="0.25">
      <c r="B65">
        <v>1159</v>
      </c>
      <c r="C65" t="s">
        <v>57</v>
      </c>
      <c r="D65" t="s">
        <v>45</v>
      </c>
      <c r="E65">
        <v>2834</v>
      </c>
      <c r="F65">
        <v>1</v>
      </c>
      <c r="G65">
        <v>9.8000000000000007</v>
      </c>
      <c r="H65" t="s">
        <v>46</v>
      </c>
      <c r="I65" s="1">
        <v>9800</v>
      </c>
      <c r="J65" s="2">
        <v>0.40524305555555556</v>
      </c>
      <c r="K65">
        <v>415272</v>
      </c>
      <c r="L65">
        <v>123</v>
      </c>
      <c r="M65" t="s">
        <v>47</v>
      </c>
      <c r="N65">
        <v>9</v>
      </c>
      <c r="P65">
        <f t="shared" si="0"/>
        <v>100</v>
      </c>
      <c r="Q65">
        <f t="shared" si="1"/>
        <v>0</v>
      </c>
    </row>
    <row r="66" spans="2:17" x14ac:dyDescent="0.25">
      <c r="B66" t="s">
        <v>51</v>
      </c>
      <c r="P66">
        <f t="shared" si="0"/>
        <v>0</v>
      </c>
      <c r="Q66">
        <f t="shared" si="1"/>
        <v>0</v>
      </c>
    </row>
    <row r="67" spans="2:17" x14ac:dyDescent="0.25">
      <c r="B67">
        <v>1266</v>
      </c>
      <c r="C67" t="s">
        <v>58</v>
      </c>
      <c r="D67" t="s">
        <v>45</v>
      </c>
      <c r="E67">
        <v>2327</v>
      </c>
      <c r="F67">
        <v>5</v>
      </c>
      <c r="G67" s="1">
        <v>1170</v>
      </c>
      <c r="H67" t="s">
        <v>49</v>
      </c>
      <c r="I67" s="1">
        <v>5850000</v>
      </c>
      <c r="J67" s="2">
        <v>0.41076388888888887</v>
      </c>
      <c r="K67">
        <v>457691</v>
      </c>
      <c r="L67">
        <v>192</v>
      </c>
      <c r="M67" t="s">
        <v>50</v>
      </c>
      <c r="N67">
        <v>9</v>
      </c>
      <c r="P67">
        <f t="shared" si="0"/>
        <v>0</v>
      </c>
      <c r="Q67">
        <f t="shared" si="1"/>
        <v>135</v>
      </c>
    </row>
    <row r="68" spans="2:17" x14ac:dyDescent="0.25">
      <c r="B68">
        <v>1456</v>
      </c>
      <c r="C68" t="s">
        <v>59</v>
      </c>
      <c r="D68" t="s">
        <v>45</v>
      </c>
      <c r="E68">
        <v>2327</v>
      </c>
      <c r="F68">
        <v>1</v>
      </c>
      <c r="G68" s="1">
        <v>1155</v>
      </c>
      <c r="H68" t="s">
        <v>49</v>
      </c>
      <c r="I68" s="1">
        <v>1155000</v>
      </c>
      <c r="J68" s="2">
        <v>0.41274305555555557</v>
      </c>
      <c r="K68">
        <v>476896</v>
      </c>
      <c r="L68">
        <v>192</v>
      </c>
      <c r="M68" t="s">
        <v>50</v>
      </c>
      <c r="N68">
        <v>9</v>
      </c>
      <c r="P68">
        <f t="shared" si="0"/>
        <v>0</v>
      </c>
      <c r="Q68">
        <f t="shared" si="1"/>
        <v>135</v>
      </c>
    </row>
    <row r="69" spans="2:17" x14ac:dyDescent="0.25">
      <c r="B69">
        <v>1457</v>
      </c>
      <c r="C69" t="s">
        <v>59</v>
      </c>
      <c r="D69" t="s">
        <v>45</v>
      </c>
      <c r="E69">
        <v>2327</v>
      </c>
      <c r="F69">
        <v>1</v>
      </c>
      <c r="G69" s="1">
        <v>1155</v>
      </c>
      <c r="H69" t="s">
        <v>49</v>
      </c>
      <c r="I69" s="1">
        <v>1155000</v>
      </c>
      <c r="J69" s="2">
        <v>0.41274305555555557</v>
      </c>
      <c r="K69">
        <v>476897</v>
      </c>
      <c r="L69">
        <v>192</v>
      </c>
      <c r="M69" t="s">
        <v>50</v>
      </c>
      <c r="N69">
        <v>9</v>
      </c>
      <c r="P69">
        <f t="shared" si="0"/>
        <v>0</v>
      </c>
      <c r="Q69">
        <f t="shared" si="1"/>
        <v>135</v>
      </c>
    </row>
    <row r="70" spans="2:17" x14ac:dyDescent="0.25">
      <c r="B70">
        <v>1458</v>
      </c>
      <c r="C70" t="s">
        <v>59</v>
      </c>
      <c r="D70" t="s">
        <v>45</v>
      </c>
      <c r="E70">
        <v>2327</v>
      </c>
      <c r="F70">
        <v>2</v>
      </c>
      <c r="G70" s="1">
        <v>1155</v>
      </c>
      <c r="H70" t="s">
        <v>49</v>
      </c>
      <c r="I70" s="1">
        <v>2310000</v>
      </c>
      <c r="J70" s="2">
        <v>0.41274305555555557</v>
      </c>
      <c r="K70">
        <v>476898</v>
      </c>
      <c r="L70">
        <v>192</v>
      </c>
      <c r="M70" t="s">
        <v>50</v>
      </c>
      <c r="N70">
        <v>9</v>
      </c>
      <c r="P70">
        <f t="shared" si="0"/>
        <v>0</v>
      </c>
      <c r="Q70">
        <f t="shared" si="1"/>
        <v>135</v>
      </c>
    </row>
    <row r="71" spans="2:17" x14ac:dyDescent="0.25">
      <c r="B71">
        <v>1459</v>
      </c>
      <c r="C71" t="s">
        <v>59</v>
      </c>
      <c r="D71" t="s">
        <v>45</v>
      </c>
      <c r="E71">
        <v>2327</v>
      </c>
      <c r="F71">
        <v>1</v>
      </c>
      <c r="G71" s="1">
        <v>1155</v>
      </c>
      <c r="H71" t="s">
        <v>49</v>
      </c>
      <c r="I71" s="1">
        <v>1155000</v>
      </c>
      <c r="J71" s="2">
        <v>0.41274305555555557</v>
      </c>
      <c r="K71">
        <v>476899</v>
      </c>
      <c r="L71">
        <v>192</v>
      </c>
      <c r="M71" t="s">
        <v>50</v>
      </c>
      <c r="N71">
        <v>9</v>
      </c>
      <c r="P71">
        <f t="shared" si="0"/>
        <v>0</v>
      </c>
      <c r="Q71">
        <f t="shared" si="1"/>
        <v>135</v>
      </c>
    </row>
    <row r="72" spans="2:17" x14ac:dyDescent="0.25">
      <c r="B72" t="s">
        <v>51</v>
      </c>
      <c r="P72">
        <f t="shared" ref="P72:P135" si="2">SUMIFS($F$7:$F$843,$E$7:$E$843,E72,$H$7:$H$843,"S")</f>
        <v>0</v>
      </c>
      <c r="Q72">
        <f t="shared" ref="Q72:Q135" si="3">SUMIFS($F$7:$F$843,$E$7:$E$843,E72,$H$7:$H$843,"b")</f>
        <v>0</v>
      </c>
    </row>
    <row r="73" spans="2:17" x14ac:dyDescent="0.25">
      <c r="B73">
        <v>1937</v>
      </c>
      <c r="C73" t="s">
        <v>60</v>
      </c>
      <c r="D73" t="s">
        <v>45</v>
      </c>
      <c r="E73">
        <v>2330</v>
      </c>
      <c r="F73">
        <v>4</v>
      </c>
      <c r="G73">
        <v>224.5</v>
      </c>
      <c r="H73" t="s">
        <v>49</v>
      </c>
      <c r="I73" s="1">
        <v>898000</v>
      </c>
      <c r="J73" s="2">
        <v>0.42721064814814813</v>
      </c>
      <c r="K73">
        <v>589974</v>
      </c>
      <c r="L73">
        <v>192</v>
      </c>
      <c r="M73" t="s">
        <v>50</v>
      </c>
      <c r="N73">
        <v>9</v>
      </c>
      <c r="P73">
        <f t="shared" si="2"/>
        <v>0</v>
      </c>
      <c r="Q73">
        <f t="shared" si="3"/>
        <v>100</v>
      </c>
    </row>
    <row r="74" spans="2:17" x14ac:dyDescent="0.25">
      <c r="B74">
        <v>1938</v>
      </c>
      <c r="C74" t="s">
        <v>60</v>
      </c>
      <c r="D74" t="s">
        <v>45</v>
      </c>
      <c r="E74">
        <v>2330</v>
      </c>
      <c r="F74">
        <v>6</v>
      </c>
      <c r="G74">
        <v>224.5</v>
      </c>
      <c r="H74" t="s">
        <v>49</v>
      </c>
      <c r="I74" s="1">
        <v>1347000</v>
      </c>
      <c r="J74" s="2">
        <v>0.42721064814814813</v>
      </c>
      <c r="K74">
        <v>589975</v>
      </c>
      <c r="L74">
        <v>192</v>
      </c>
      <c r="M74" t="s">
        <v>50</v>
      </c>
      <c r="N74">
        <v>9</v>
      </c>
      <c r="P74">
        <f t="shared" si="2"/>
        <v>0</v>
      </c>
      <c r="Q74">
        <f t="shared" si="3"/>
        <v>100</v>
      </c>
    </row>
    <row r="75" spans="2:17" x14ac:dyDescent="0.25">
      <c r="B75">
        <v>1939</v>
      </c>
      <c r="C75" t="s">
        <v>60</v>
      </c>
      <c r="D75" t="s">
        <v>45</v>
      </c>
      <c r="E75">
        <v>2330</v>
      </c>
      <c r="F75">
        <v>7</v>
      </c>
      <c r="G75">
        <v>224.5</v>
      </c>
      <c r="H75" t="s">
        <v>49</v>
      </c>
      <c r="I75" s="1">
        <v>1571500</v>
      </c>
      <c r="J75" s="2">
        <v>0.42721064814814813</v>
      </c>
      <c r="K75">
        <v>589976</v>
      </c>
      <c r="L75">
        <v>192</v>
      </c>
      <c r="M75" t="s">
        <v>50</v>
      </c>
      <c r="N75">
        <v>9</v>
      </c>
      <c r="P75">
        <f t="shared" si="2"/>
        <v>0</v>
      </c>
      <c r="Q75">
        <f t="shared" si="3"/>
        <v>100</v>
      </c>
    </row>
    <row r="76" spans="2:17" x14ac:dyDescent="0.25">
      <c r="B76">
        <v>1941</v>
      </c>
      <c r="C76" t="s">
        <v>60</v>
      </c>
      <c r="D76" t="s">
        <v>45</v>
      </c>
      <c r="E76">
        <v>2330</v>
      </c>
      <c r="F76">
        <v>7</v>
      </c>
      <c r="G76">
        <v>224.5</v>
      </c>
      <c r="H76" t="s">
        <v>49</v>
      </c>
      <c r="I76" s="1">
        <v>1571500</v>
      </c>
      <c r="J76" s="2">
        <v>0.42726851851851855</v>
      </c>
      <c r="K76">
        <v>590481</v>
      </c>
      <c r="L76">
        <v>192</v>
      </c>
      <c r="M76" t="s">
        <v>50</v>
      </c>
      <c r="N76">
        <v>9</v>
      </c>
      <c r="P76">
        <f t="shared" si="2"/>
        <v>0</v>
      </c>
      <c r="Q76">
        <f t="shared" si="3"/>
        <v>100</v>
      </c>
    </row>
    <row r="77" spans="2:17" x14ac:dyDescent="0.25">
      <c r="B77">
        <v>1942</v>
      </c>
      <c r="C77" t="s">
        <v>60</v>
      </c>
      <c r="D77" t="s">
        <v>45</v>
      </c>
      <c r="E77">
        <v>2330</v>
      </c>
      <c r="F77">
        <v>8</v>
      </c>
      <c r="G77">
        <v>224.5</v>
      </c>
      <c r="H77" t="s">
        <v>49</v>
      </c>
      <c r="I77" s="1">
        <v>1796000</v>
      </c>
      <c r="J77" s="2">
        <v>0.42726851851851855</v>
      </c>
      <c r="K77">
        <v>590482</v>
      </c>
      <c r="L77">
        <v>192</v>
      </c>
      <c r="M77" t="s">
        <v>50</v>
      </c>
      <c r="N77">
        <v>9</v>
      </c>
      <c r="P77">
        <f t="shared" si="2"/>
        <v>0</v>
      </c>
      <c r="Q77">
        <f t="shared" si="3"/>
        <v>100</v>
      </c>
    </row>
    <row r="78" spans="2:17" x14ac:dyDescent="0.25">
      <c r="B78" t="s">
        <v>51</v>
      </c>
      <c r="P78">
        <f t="shared" si="2"/>
        <v>0</v>
      </c>
      <c r="Q78">
        <f t="shared" si="3"/>
        <v>0</v>
      </c>
    </row>
    <row r="79" spans="2:17" x14ac:dyDescent="0.25">
      <c r="B79">
        <v>2676</v>
      </c>
      <c r="C79" t="s">
        <v>61</v>
      </c>
      <c r="D79" t="s">
        <v>45</v>
      </c>
      <c r="E79">
        <v>81102</v>
      </c>
      <c r="F79">
        <v>5</v>
      </c>
      <c r="G79">
        <v>111</v>
      </c>
      <c r="H79" t="s">
        <v>46</v>
      </c>
      <c r="I79" s="1">
        <v>555000</v>
      </c>
      <c r="J79" s="2">
        <v>0.46023148148148146</v>
      </c>
      <c r="K79">
        <v>371450</v>
      </c>
      <c r="L79">
        <v>20</v>
      </c>
      <c r="M79" t="s">
        <v>48</v>
      </c>
      <c r="N79">
        <v>9</v>
      </c>
      <c r="P79">
        <f t="shared" si="2"/>
        <v>25</v>
      </c>
      <c r="Q79">
        <f t="shared" si="3"/>
        <v>0</v>
      </c>
    </row>
    <row r="80" spans="2:17" x14ac:dyDescent="0.25">
      <c r="B80">
        <v>3187</v>
      </c>
      <c r="C80" t="s">
        <v>62</v>
      </c>
      <c r="D80" t="s">
        <v>45</v>
      </c>
      <c r="E80">
        <v>2834</v>
      </c>
      <c r="F80">
        <v>1</v>
      </c>
      <c r="G80">
        <v>9.76</v>
      </c>
      <c r="H80" t="s">
        <v>46</v>
      </c>
      <c r="I80" s="1">
        <v>9760</v>
      </c>
      <c r="J80" s="2">
        <v>0.5332175925925926</v>
      </c>
      <c r="K80">
        <v>1122224</v>
      </c>
      <c r="L80">
        <v>123</v>
      </c>
      <c r="M80" t="s">
        <v>47</v>
      </c>
      <c r="N80">
        <v>9</v>
      </c>
      <c r="P80">
        <f t="shared" si="2"/>
        <v>100</v>
      </c>
      <c r="Q80">
        <f t="shared" si="3"/>
        <v>0</v>
      </c>
    </row>
    <row r="81" spans="2:17" x14ac:dyDescent="0.25">
      <c r="B81">
        <v>685</v>
      </c>
      <c r="C81" t="s">
        <v>63</v>
      </c>
      <c r="D81" t="s">
        <v>45</v>
      </c>
      <c r="E81">
        <v>2834</v>
      </c>
      <c r="F81">
        <v>1</v>
      </c>
      <c r="G81">
        <v>9.81</v>
      </c>
      <c r="H81" t="s">
        <v>46</v>
      </c>
      <c r="I81" s="1">
        <v>9810</v>
      </c>
      <c r="J81" s="2">
        <v>0.39425925925925925</v>
      </c>
      <c r="K81">
        <v>317773</v>
      </c>
      <c r="L81">
        <v>123</v>
      </c>
      <c r="M81" t="s">
        <v>47</v>
      </c>
      <c r="N81">
        <v>9</v>
      </c>
      <c r="P81">
        <f t="shared" si="2"/>
        <v>100</v>
      </c>
      <c r="Q81">
        <f t="shared" si="3"/>
        <v>0</v>
      </c>
    </row>
    <row r="82" spans="2:17" x14ac:dyDescent="0.25">
      <c r="B82">
        <v>1528</v>
      </c>
      <c r="C82" t="s">
        <v>64</v>
      </c>
      <c r="D82" t="s">
        <v>45</v>
      </c>
      <c r="E82">
        <v>288602</v>
      </c>
      <c r="F82">
        <v>5</v>
      </c>
      <c r="G82">
        <v>116.5</v>
      </c>
      <c r="H82" t="s">
        <v>49</v>
      </c>
      <c r="I82" s="1">
        <v>582500</v>
      </c>
      <c r="J82" s="2">
        <v>0.4151157407407407</v>
      </c>
      <c r="K82">
        <v>237096</v>
      </c>
      <c r="L82">
        <v>123</v>
      </c>
      <c r="M82" t="s">
        <v>47</v>
      </c>
      <c r="N82">
        <v>9</v>
      </c>
      <c r="P82">
        <f t="shared" si="2"/>
        <v>0</v>
      </c>
      <c r="Q82">
        <f t="shared" si="3"/>
        <v>15</v>
      </c>
    </row>
    <row r="83" spans="2:17" x14ac:dyDescent="0.25">
      <c r="B83">
        <v>1420</v>
      </c>
      <c r="C83" t="s">
        <v>65</v>
      </c>
      <c r="D83" t="s">
        <v>45</v>
      </c>
      <c r="E83">
        <v>2834</v>
      </c>
      <c r="F83">
        <v>1</v>
      </c>
      <c r="G83">
        <v>9.8000000000000007</v>
      </c>
      <c r="H83" t="s">
        <v>46</v>
      </c>
      <c r="I83" s="1">
        <v>9800</v>
      </c>
      <c r="J83" s="2">
        <v>0.41256944444444449</v>
      </c>
      <c r="K83">
        <v>475251</v>
      </c>
      <c r="L83">
        <v>123</v>
      </c>
      <c r="M83" t="s">
        <v>47</v>
      </c>
      <c r="N83">
        <v>9</v>
      </c>
      <c r="P83">
        <f t="shared" si="2"/>
        <v>100</v>
      </c>
      <c r="Q83">
        <f t="shared" si="3"/>
        <v>0</v>
      </c>
    </row>
    <row r="84" spans="2:17" x14ac:dyDescent="0.25">
      <c r="B84" t="s">
        <v>51</v>
      </c>
      <c r="P84">
        <f t="shared" si="2"/>
        <v>0</v>
      </c>
      <c r="Q84">
        <f t="shared" si="3"/>
        <v>0</v>
      </c>
    </row>
    <row r="85" spans="2:17" x14ac:dyDescent="0.25">
      <c r="B85">
        <v>1608</v>
      </c>
      <c r="C85" t="s">
        <v>66</v>
      </c>
      <c r="D85" t="s">
        <v>45</v>
      </c>
      <c r="E85">
        <v>2327</v>
      </c>
      <c r="F85">
        <v>2</v>
      </c>
      <c r="G85" s="1">
        <v>1130</v>
      </c>
      <c r="H85" t="s">
        <v>49</v>
      </c>
      <c r="I85" s="1">
        <v>2260000</v>
      </c>
      <c r="J85" s="2">
        <v>0.4185532407407408</v>
      </c>
      <c r="K85">
        <v>521831</v>
      </c>
      <c r="L85">
        <v>192</v>
      </c>
      <c r="M85" t="s">
        <v>50</v>
      </c>
      <c r="N85">
        <v>9</v>
      </c>
      <c r="P85">
        <f t="shared" si="2"/>
        <v>0</v>
      </c>
      <c r="Q85">
        <f t="shared" si="3"/>
        <v>135</v>
      </c>
    </row>
    <row r="86" spans="2:17" x14ac:dyDescent="0.25">
      <c r="B86">
        <v>2464</v>
      </c>
      <c r="C86" t="s">
        <v>67</v>
      </c>
      <c r="D86" t="s">
        <v>45</v>
      </c>
      <c r="E86">
        <v>2327</v>
      </c>
      <c r="F86">
        <v>3</v>
      </c>
      <c r="G86" s="1">
        <v>1100</v>
      </c>
      <c r="H86" t="s">
        <v>49</v>
      </c>
      <c r="I86" s="1">
        <v>3300000</v>
      </c>
      <c r="J86" s="2">
        <v>0.45063657407407409</v>
      </c>
      <c r="K86">
        <v>738095</v>
      </c>
      <c r="L86">
        <v>192</v>
      </c>
      <c r="M86" t="s">
        <v>50</v>
      </c>
      <c r="N86">
        <v>9</v>
      </c>
      <c r="P86">
        <f t="shared" si="2"/>
        <v>0</v>
      </c>
      <c r="Q86">
        <f t="shared" si="3"/>
        <v>135</v>
      </c>
    </row>
    <row r="87" spans="2:17" x14ac:dyDescent="0.25">
      <c r="B87">
        <v>2504</v>
      </c>
      <c r="C87" t="s">
        <v>68</v>
      </c>
      <c r="D87" t="s">
        <v>45</v>
      </c>
      <c r="E87">
        <v>26095</v>
      </c>
      <c r="F87">
        <v>5</v>
      </c>
      <c r="G87">
        <v>103.75</v>
      </c>
      <c r="H87" t="s">
        <v>49</v>
      </c>
      <c r="I87" s="1">
        <v>518750</v>
      </c>
      <c r="J87" s="2">
        <v>0.45253472222222224</v>
      </c>
      <c r="K87">
        <v>352499</v>
      </c>
      <c r="L87">
        <v>123</v>
      </c>
      <c r="M87" t="s">
        <v>47</v>
      </c>
      <c r="N87">
        <v>9</v>
      </c>
      <c r="P87">
        <f t="shared" si="2"/>
        <v>58</v>
      </c>
      <c r="Q87">
        <f t="shared" si="3"/>
        <v>263</v>
      </c>
    </row>
    <row r="88" spans="2:17" x14ac:dyDescent="0.25">
      <c r="B88">
        <v>2505</v>
      </c>
      <c r="C88" t="s">
        <v>68</v>
      </c>
      <c r="D88" t="s">
        <v>45</v>
      </c>
      <c r="E88">
        <v>26095</v>
      </c>
      <c r="F88">
        <v>10</v>
      </c>
      <c r="G88">
        <v>103.75</v>
      </c>
      <c r="H88" t="s">
        <v>49</v>
      </c>
      <c r="I88" s="1">
        <v>1037500</v>
      </c>
      <c r="J88" s="2">
        <v>0.45253472222222224</v>
      </c>
      <c r="K88">
        <v>352500</v>
      </c>
      <c r="L88">
        <v>123</v>
      </c>
      <c r="M88" t="s">
        <v>47</v>
      </c>
      <c r="N88">
        <v>9</v>
      </c>
      <c r="P88">
        <f t="shared" si="2"/>
        <v>58</v>
      </c>
      <c r="Q88">
        <f t="shared" si="3"/>
        <v>263</v>
      </c>
    </row>
    <row r="89" spans="2:17" x14ac:dyDescent="0.25">
      <c r="B89">
        <v>1040</v>
      </c>
      <c r="C89" t="s">
        <v>69</v>
      </c>
      <c r="D89" t="s">
        <v>45</v>
      </c>
      <c r="E89">
        <v>4966</v>
      </c>
      <c r="F89">
        <v>10</v>
      </c>
      <c r="G89">
        <v>508</v>
      </c>
      <c r="H89" t="s">
        <v>46</v>
      </c>
      <c r="I89" s="1">
        <v>5080000</v>
      </c>
      <c r="J89" s="2">
        <v>0.40043981481481478</v>
      </c>
      <c r="K89">
        <v>180986</v>
      </c>
      <c r="L89">
        <v>165</v>
      </c>
      <c r="M89" t="s">
        <v>52</v>
      </c>
      <c r="N89">
        <v>9</v>
      </c>
      <c r="P89">
        <f t="shared" si="2"/>
        <v>10</v>
      </c>
      <c r="Q89">
        <f t="shared" si="3"/>
        <v>0</v>
      </c>
    </row>
    <row r="90" spans="2:17" x14ac:dyDescent="0.25">
      <c r="B90" t="s">
        <v>51</v>
      </c>
      <c r="P90">
        <f t="shared" si="2"/>
        <v>0</v>
      </c>
      <c r="Q90">
        <f t="shared" si="3"/>
        <v>0</v>
      </c>
    </row>
    <row r="91" spans="2:17" x14ac:dyDescent="0.25">
      <c r="B91">
        <v>636</v>
      </c>
      <c r="C91" t="s">
        <v>70</v>
      </c>
      <c r="D91" t="s">
        <v>45</v>
      </c>
      <c r="E91">
        <v>26095</v>
      </c>
      <c r="F91">
        <v>4</v>
      </c>
      <c r="G91">
        <v>102.8</v>
      </c>
      <c r="H91" t="s">
        <v>49</v>
      </c>
      <c r="I91" s="1">
        <v>411200</v>
      </c>
      <c r="J91" s="2">
        <v>0.39171296296296299</v>
      </c>
      <c r="K91">
        <v>141162</v>
      </c>
      <c r="L91">
        <v>123</v>
      </c>
      <c r="M91" t="s">
        <v>47</v>
      </c>
      <c r="N91">
        <v>9</v>
      </c>
      <c r="P91">
        <f t="shared" si="2"/>
        <v>58</v>
      </c>
      <c r="Q91">
        <f t="shared" si="3"/>
        <v>263</v>
      </c>
    </row>
    <row r="92" spans="2:17" x14ac:dyDescent="0.25">
      <c r="B92">
        <v>637</v>
      </c>
      <c r="C92" t="s">
        <v>70</v>
      </c>
      <c r="D92" t="s">
        <v>45</v>
      </c>
      <c r="E92">
        <v>26095</v>
      </c>
      <c r="F92">
        <v>2</v>
      </c>
      <c r="G92">
        <v>102.8</v>
      </c>
      <c r="H92" t="s">
        <v>49</v>
      </c>
      <c r="I92" s="1">
        <v>205600</v>
      </c>
      <c r="J92" s="2">
        <v>0.39171296296296299</v>
      </c>
      <c r="K92">
        <v>141163</v>
      </c>
      <c r="L92">
        <v>123</v>
      </c>
      <c r="M92" t="s">
        <v>47</v>
      </c>
      <c r="N92">
        <v>9</v>
      </c>
      <c r="P92">
        <f t="shared" si="2"/>
        <v>58</v>
      </c>
      <c r="Q92">
        <f t="shared" si="3"/>
        <v>263</v>
      </c>
    </row>
    <row r="93" spans="2:17" x14ac:dyDescent="0.25">
      <c r="B93">
        <v>638</v>
      </c>
      <c r="C93" t="s">
        <v>70</v>
      </c>
      <c r="D93" t="s">
        <v>45</v>
      </c>
      <c r="E93">
        <v>26095</v>
      </c>
      <c r="F93">
        <v>10</v>
      </c>
      <c r="G93">
        <v>102.8</v>
      </c>
      <c r="H93" t="s">
        <v>49</v>
      </c>
      <c r="I93" s="1">
        <v>1028000</v>
      </c>
      <c r="J93" s="2">
        <v>0.39171296296296299</v>
      </c>
      <c r="K93">
        <v>141164</v>
      </c>
      <c r="L93">
        <v>123</v>
      </c>
      <c r="M93" t="s">
        <v>47</v>
      </c>
      <c r="N93">
        <v>9</v>
      </c>
      <c r="P93">
        <f t="shared" si="2"/>
        <v>58</v>
      </c>
      <c r="Q93">
        <f t="shared" si="3"/>
        <v>263</v>
      </c>
    </row>
    <row r="94" spans="2:17" x14ac:dyDescent="0.25">
      <c r="B94">
        <v>639</v>
      </c>
      <c r="C94" t="s">
        <v>70</v>
      </c>
      <c r="D94" t="s">
        <v>45</v>
      </c>
      <c r="E94">
        <v>26095</v>
      </c>
      <c r="F94">
        <v>5</v>
      </c>
      <c r="G94">
        <v>102.8</v>
      </c>
      <c r="H94" t="s">
        <v>49</v>
      </c>
      <c r="I94" s="1">
        <v>514000</v>
      </c>
      <c r="J94" s="2">
        <v>0.39171296296296299</v>
      </c>
      <c r="K94">
        <v>141165</v>
      </c>
      <c r="L94">
        <v>123</v>
      </c>
      <c r="M94" t="s">
        <v>47</v>
      </c>
      <c r="N94">
        <v>9</v>
      </c>
      <c r="P94">
        <f t="shared" si="2"/>
        <v>58</v>
      </c>
      <c r="Q94">
        <f t="shared" si="3"/>
        <v>263</v>
      </c>
    </row>
    <row r="95" spans="2:17" x14ac:dyDescent="0.25">
      <c r="B95">
        <v>640</v>
      </c>
      <c r="C95" t="s">
        <v>70</v>
      </c>
      <c r="D95" t="s">
        <v>45</v>
      </c>
      <c r="E95">
        <v>26095</v>
      </c>
      <c r="F95">
        <v>6</v>
      </c>
      <c r="G95">
        <v>102.8</v>
      </c>
      <c r="H95" t="s">
        <v>49</v>
      </c>
      <c r="I95" s="1">
        <v>616800</v>
      </c>
      <c r="J95" s="2">
        <v>0.39171296296296299</v>
      </c>
      <c r="K95">
        <v>141166</v>
      </c>
      <c r="L95">
        <v>123</v>
      </c>
      <c r="M95" t="s">
        <v>47</v>
      </c>
      <c r="N95">
        <v>9</v>
      </c>
      <c r="P95">
        <f t="shared" si="2"/>
        <v>58</v>
      </c>
      <c r="Q95">
        <f t="shared" si="3"/>
        <v>263</v>
      </c>
    </row>
    <row r="96" spans="2:17" x14ac:dyDescent="0.25">
      <c r="B96" t="s">
        <v>53</v>
      </c>
      <c r="P96">
        <f t="shared" si="2"/>
        <v>0</v>
      </c>
      <c r="Q96">
        <f t="shared" si="3"/>
        <v>0</v>
      </c>
    </row>
    <row r="97" spans="1:20" x14ac:dyDescent="0.25">
      <c r="A97" t="s">
        <v>54</v>
      </c>
      <c r="P97">
        <f t="shared" si="2"/>
        <v>0</v>
      </c>
      <c r="Q97">
        <f t="shared" si="3"/>
        <v>0</v>
      </c>
    </row>
    <row r="98" spans="1:20" x14ac:dyDescent="0.25"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6</v>
      </c>
      <c r="H98" t="s">
        <v>2</v>
      </c>
      <c r="I98">
        <v>3</v>
      </c>
      <c r="P98">
        <f t="shared" si="2"/>
        <v>0</v>
      </c>
      <c r="Q98">
        <f t="shared" si="3"/>
        <v>0</v>
      </c>
    </row>
    <row r="99" spans="1:20" x14ac:dyDescent="0.25">
      <c r="B99" t="s">
        <v>7</v>
      </c>
      <c r="C99" t="s">
        <v>2</v>
      </c>
      <c r="D99">
        <v>20180612</v>
      </c>
      <c r="E99" t="s">
        <v>8</v>
      </c>
      <c r="F99" t="s">
        <v>9</v>
      </c>
      <c r="G99" t="s">
        <v>10</v>
      </c>
      <c r="H99" t="s">
        <v>11</v>
      </c>
      <c r="I99" t="s">
        <v>12</v>
      </c>
      <c r="J99" t="s">
        <v>13</v>
      </c>
      <c r="K99" t="s">
        <v>14</v>
      </c>
      <c r="L99" t="s">
        <v>15</v>
      </c>
      <c r="M99" t="s">
        <v>16</v>
      </c>
      <c r="N99" t="s">
        <v>17</v>
      </c>
      <c r="O99" t="s">
        <v>18</v>
      </c>
      <c r="P99">
        <f t="shared" si="2"/>
        <v>0</v>
      </c>
      <c r="Q99">
        <f t="shared" si="3"/>
        <v>0</v>
      </c>
      <c r="R99" t="s">
        <v>19</v>
      </c>
      <c r="S99" t="s">
        <v>20</v>
      </c>
    </row>
    <row r="100" spans="1:20" x14ac:dyDescent="0.25">
      <c r="P100">
        <f t="shared" si="2"/>
        <v>0</v>
      </c>
      <c r="Q100">
        <f t="shared" si="3"/>
        <v>0</v>
      </c>
    </row>
    <row r="101" spans="1:20" x14ac:dyDescent="0.25">
      <c r="B101" t="s">
        <v>21</v>
      </c>
      <c r="C101" t="s">
        <v>22</v>
      </c>
      <c r="D101" t="s">
        <v>23</v>
      </c>
      <c r="E101" t="s">
        <v>24</v>
      </c>
      <c r="F101" t="s">
        <v>25</v>
      </c>
      <c r="G101" t="s">
        <v>26</v>
      </c>
      <c r="H101" t="s">
        <v>27</v>
      </c>
      <c r="I101" t="s">
        <v>28</v>
      </c>
      <c r="J101" t="s">
        <v>29</v>
      </c>
      <c r="K101" t="s">
        <v>30</v>
      </c>
      <c r="L101" t="s">
        <v>31</v>
      </c>
      <c r="M101" t="s">
        <v>32</v>
      </c>
      <c r="N101" t="s">
        <v>33</v>
      </c>
      <c r="O101" t="s">
        <v>34</v>
      </c>
      <c r="P101">
        <f t="shared" si="2"/>
        <v>0</v>
      </c>
      <c r="Q101">
        <f t="shared" si="3"/>
        <v>0</v>
      </c>
      <c r="R101" t="s">
        <v>35</v>
      </c>
      <c r="S101" t="s">
        <v>36</v>
      </c>
      <c r="T101" t="s">
        <v>37</v>
      </c>
    </row>
    <row r="102" spans="1:20" x14ac:dyDescent="0.25">
      <c r="B102" t="s">
        <v>38</v>
      </c>
      <c r="C102" t="s">
        <v>39</v>
      </c>
      <c r="D102" t="s">
        <v>38</v>
      </c>
      <c r="E102" t="s">
        <v>38</v>
      </c>
      <c r="F102" t="s">
        <v>40</v>
      </c>
      <c r="G102" t="s">
        <v>38</v>
      </c>
      <c r="H102" t="s">
        <v>41</v>
      </c>
      <c r="I102" t="s">
        <v>42</v>
      </c>
      <c r="J102" t="s">
        <v>39</v>
      </c>
      <c r="K102" t="s">
        <v>38</v>
      </c>
      <c r="L102" t="s">
        <v>38</v>
      </c>
      <c r="M102" t="s">
        <v>43</v>
      </c>
      <c r="N102" t="s">
        <v>43</v>
      </c>
      <c r="O102" t="s">
        <v>44</v>
      </c>
      <c r="P102">
        <f t="shared" si="2"/>
        <v>0</v>
      </c>
      <c r="Q102">
        <f t="shared" si="3"/>
        <v>0</v>
      </c>
    </row>
    <row r="103" spans="1:20" x14ac:dyDescent="0.25">
      <c r="B103">
        <v>641</v>
      </c>
      <c r="C103" t="s">
        <v>70</v>
      </c>
      <c r="D103" t="s">
        <v>45</v>
      </c>
      <c r="E103">
        <v>26095</v>
      </c>
      <c r="F103">
        <v>50</v>
      </c>
      <c r="G103">
        <v>102.8</v>
      </c>
      <c r="H103" t="s">
        <v>49</v>
      </c>
      <c r="I103" s="1">
        <v>5140000</v>
      </c>
      <c r="J103" s="2">
        <v>0.39171296296296299</v>
      </c>
      <c r="K103">
        <v>141167</v>
      </c>
      <c r="L103">
        <v>123</v>
      </c>
      <c r="M103" t="s">
        <v>47</v>
      </c>
      <c r="N103">
        <v>9</v>
      </c>
      <c r="P103">
        <f t="shared" si="2"/>
        <v>58</v>
      </c>
      <c r="Q103">
        <f t="shared" si="3"/>
        <v>263</v>
      </c>
    </row>
    <row r="104" spans="1:20" x14ac:dyDescent="0.25">
      <c r="B104">
        <v>642</v>
      </c>
      <c r="C104" t="s">
        <v>70</v>
      </c>
      <c r="D104" t="s">
        <v>45</v>
      </c>
      <c r="E104">
        <v>26095</v>
      </c>
      <c r="F104">
        <v>20</v>
      </c>
      <c r="G104">
        <v>102.8</v>
      </c>
      <c r="H104" t="s">
        <v>49</v>
      </c>
      <c r="I104" s="1">
        <v>2056000</v>
      </c>
      <c r="J104" s="2">
        <v>0.39171296296296299</v>
      </c>
      <c r="K104">
        <v>141168</v>
      </c>
      <c r="L104">
        <v>123</v>
      </c>
      <c r="M104" t="s">
        <v>47</v>
      </c>
      <c r="N104">
        <v>9</v>
      </c>
      <c r="P104">
        <f t="shared" si="2"/>
        <v>58</v>
      </c>
      <c r="Q104">
        <f t="shared" si="3"/>
        <v>263</v>
      </c>
    </row>
    <row r="105" spans="1:20" x14ac:dyDescent="0.25">
      <c r="B105">
        <v>1255</v>
      </c>
      <c r="C105" t="s">
        <v>71</v>
      </c>
      <c r="D105" t="s">
        <v>45</v>
      </c>
      <c r="E105">
        <v>2834</v>
      </c>
      <c r="F105">
        <v>1</v>
      </c>
      <c r="G105">
        <v>9.7899999999999991</v>
      </c>
      <c r="H105" t="s">
        <v>46</v>
      </c>
      <c r="I105" s="1">
        <v>9790</v>
      </c>
      <c r="J105" s="2">
        <v>0.40891203703703699</v>
      </c>
      <c r="K105">
        <v>443201</v>
      </c>
      <c r="L105">
        <v>123</v>
      </c>
      <c r="M105" t="s">
        <v>47</v>
      </c>
      <c r="N105">
        <v>9</v>
      </c>
      <c r="P105">
        <f t="shared" si="2"/>
        <v>100</v>
      </c>
      <c r="Q105">
        <f t="shared" si="3"/>
        <v>0</v>
      </c>
    </row>
    <row r="106" spans="1:20" x14ac:dyDescent="0.25">
      <c r="B106">
        <v>2242</v>
      </c>
      <c r="C106" t="s">
        <v>72</v>
      </c>
      <c r="D106" t="s">
        <v>45</v>
      </c>
      <c r="E106">
        <v>36912</v>
      </c>
      <c r="F106">
        <v>1</v>
      </c>
      <c r="G106">
        <v>83.35</v>
      </c>
      <c r="H106" t="s">
        <v>46</v>
      </c>
      <c r="I106" s="1">
        <v>83350</v>
      </c>
      <c r="J106" s="2">
        <v>0.44137731481481479</v>
      </c>
      <c r="K106">
        <v>323551</v>
      </c>
      <c r="L106">
        <v>20</v>
      </c>
      <c r="M106" t="s">
        <v>48</v>
      </c>
      <c r="N106">
        <v>9</v>
      </c>
      <c r="P106">
        <f t="shared" si="2"/>
        <v>12</v>
      </c>
      <c r="Q106">
        <f t="shared" si="3"/>
        <v>0</v>
      </c>
    </row>
    <row r="107" spans="1:20" x14ac:dyDescent="0.25">
      <c r="B107">
        <v>2243</v>
      </c>
      <c r="C107" t="s">
        <v>72</v>
      </c>
      <c r="D107" t="s">
        <v>45</v>
      </c>
      <c r="E107">
        <v>36912</v>
      </c>
      <c r="F107">
        <v>2</v>
      </c>
      <c r="G107">
        <v>83.35</v>
      </c>
      <c r="H107" t="s">
        <v>46</v>
      </c>
      <c r="I107" s="1">
        <v>166700</v>
      </c>
      <c r="J107" s="2">
        <v>0.44137731481481479</v>
      </c>
      <c r="K107">
        <v>323552</v>
      </c>
      <c r="L107">
        <v>20</v>
      </c>
      <c r="M107" t="s">
        <v>48</v>
      </c>
      <c r="N107">
        <v>9</v>
      </c>
      <c r="P107">
        <f t="shared" si="2"/>
        <v>12</v>
      </c>
      <c r="Q107">
        <f t="shared" si="3"/>
        <v>0</v>
      </c>
    </row>
    <row r="108" spans="1:20" x14ac:dyDescent="0.25">
      <c r="B108" t="s">
        <v>51</v>
      </c>
      <c r="P108">
        <f t="shared" si="2"/>
        <v>0</v>
      </c>
      <c r="Q108">
        <f t="shared" si="3"/>
        <v>0</v>
      </c>
    </row>
    <row r="109" spans="1:20" x14ac:dyDescent="0.25">
      <c r="B109">
        <v>2244</v>
      </c>
      <c r="C109" t="s">
        <v>72</v>
      </c>
      <c r="D109" t="s">
        <v>45</v>
      </c>
      <c r="E109">
        <v>36912</v>
      </c>
      <c r="F109">
        <v>2</v>
      </c>
      <c r="G109">
        <v>83.35</v>
      </c>
      <c r="H109" t="s">
        <v>46</v>
      </c>
      <c r="I109" s="1">
        <v>166700</v>
      </c>
      <c r="J109" s="2">
        <v>0.44137731481481479</v>
      </c>
      <c r="K109">
        <v>323553</v>
      </c>
      <c r="L109">
        <v>20</v>
      </c>
      <c r="M109" t="s">
        <v>48</v>
      </c>
      <c r="N109">
        <v>9</v>
      </c>
      <c r="P109">
        <f t="shared" si="2"/>
        <v>12</v>
      </c>
      <c r="Q109">
        <f t="shared" si="3"/>
        <v>0</v>
      </c>
    </row>
    <row r="110" spans="1:20" x14ac:dyDescent="0.25">
      <c r="B110">
        <v>3070</v>
      </c>
      <c r="C110" t="s">
        <v>73</v>
      </c>
      <c r="D110" t="s">
        <v>45</v>
      </c>
      <c r="E110">
        <v>2834</v>
      </c>
      <c r="F110">
        <v>1</v>
      </c>
      <c r="G110">
        <v>9.75</v>
      </c>
      <c r="H110" t="s">
        <v>46</v>
      </c>
      <c r="I110" s="1">
        <v>9750</v>
      </c>
      <c r="J110" s="2">
        <v>0.50949074074074074</v>
      </c>
      <c r="K110">
        <v>1020662</v>
      </c>
      <c r="L110">
        <v>123</v>
      </c>
      <c r="M110" t="s">
        <v>47</v>
      </c>
      <c r="N110">
        <v>9</v>
      </c>
      <c r="P110">
        <f t="shared" si="2"/>
        <v>100</v>
      </c>
      <c r="Q110">
        <f t="shared" si="3"/>
        <v>0</v>
      </c>
    </row>
    <row r="111" spans="1:20" x14ac:dyDescent="0.25">
      <c r="B111">
        <v>3111</v>
      </c>
      <c r="C111" t="s">
        <v>74</v>
      </c>
      <c r="D111" t="s">
        <v>45</v>
      </c>
      <c r="E111">
        <v>2834</v>
      </c>
      <c r="F111">
        <v>1</v>
      </c>
      <c r="G111">
        <v>9.75</v>
      </c>
      <c r="H111" t="s">
        <v>46</v>
      </c>
      <c r="I111" s="1">
        <v>9750</v>
      </c>
      <c r="J111" s="2">
        <v>0.52042824074074068</v>
      </c>
      <c r="K111">
        <v>1063532</v>
      </c>
      <c r="L111">
        <v>123</v>
      </c>
      <c r="M111" t="s">
        <v>47</v>
      </c>
      <c r="N111">
        <v>9</v>
      </c>
      <c r="P111">
        <f t="shared" si="2"/>
        <v>100</v>
      </c>
      <c r="Q111">
        <f t="shared" si="3"/>
        <v>0</v>
      </c>
    </row>
    <row r="112" spans="1:20" x14ac:dyDescent="0.25">
      <c r="B112">
        <v>3379</v>
      </c>
      <c r="C112" t="s">
        <v>75</v>
      </c>
      <c r="D112" t="s">
        <v>45</v>
      </c>
      <c r="E112">
        <v>2834</v>
      </c>
      <c r="F112">
        <v>1</v>
      </c>
      <c r="G112">
        <v>9.77</v>
      </c>
      <c r="H112" t="s">
        <v>46</v>
      </c>
      <c r="I112" s="1">
        <v>9770</v>
      </c>
      <c r="J112" s="2">
        <v>0.54973379629629626</v>
      </c>
      <c r="K112">
        <v>1218788</v>
      </c>
      <c r="L112">
        <v>123</v>
      </c>
      <c r="M112" t="s">
        <v>47</v>
      </c>
      <c r="N112">
        <v>9</v>
      </c>
      <c r="P112">
        <f t="shared" si="2"/>
        <v>100</v>
      </c>
      <c r="Q112">
        <f t="shared" si="3"/>
        <v>0</v>
      </c>
    </row>
    <row r="113" spans="2:17" x14ac:dyDescent="0.25">
      <c r="B113">
        <v>3620</v>
      </c>
      <c r="C113" t="s">
        <v>76</v>
      </c>
      <c r="D113" t="s">
        <v>45</v>
      </c>
      <c r="E113">
        <v>2834</v>
      </c>
      <c r="F113">
        <v>1</v>
      </c>
      <c r="G113">
        <v>9.76</v>
      </c>
      <c r="H113" t="s">
        <v>46</v>
      </c>
      <c r="I113" s="1">
        <v>9760</v>
      </c>
      <c r="J113" s="2">
        <v>0.5625</v>
      </c>
      <c r="K113">
        <v>1305408</v>
      </c>
      <c r="L113">
        <v>123</v>
      </c>
      <c r="M113" t="s">
        <v>47</v>
      </c>
      <c r="N113">
        <v>9</v>
      </c>
      <c r="P113">
        <f t="shared" si="2"/>
        <v>100</v>
      </c>
      <c r="Q113">
        <f t="shared" si="3"/>
        <v>0</v>
      </c>
    </row>
    <row r="114" spans="2:17" x14ac:dyDescent="0.25">
      <c r="B114" t="s">
        <v>51</v>
      </c>
      <c r="P114">
        <f t="shared" si="2"/>
        <v>0</v>
      </c>
      <c r="Q114">
        <f t="shared" si="3"/>
        <v>0</v>
      </c>
    </row>
    <row r="115" spans="2:17" x14ac:dyDescent="0.25">
      <c r="B115">
        <v>1660</v>
      </c>
      <c r="C115" t="s">
        <v>77</v>
      </c>
      <c r="D115" t="s">
        <v>45</v>
      </c>
      <c r="E115">
        <v>2456</v>
      </c>
      <c r="F115">
        <v>1</v>
      </c>
      <c r="G115">
        <v>200.5</v>
      </c>
      <c r="H115" t="s">
        <v>46</v>
      </c>
      <c r="I115" s="1">
        <v>200500</v>
      </c>
      <c r="J115" s="2">
        <v>0.42017361111111112</v>
      </c>
      <c r="K115">
        <v>533528</v>
      </c>
      <c r="L115">
        <v>191</v>
      </c>
      <c r="M115" t="s">
        <v>55</v>
      </c>
      <c r="N115">
        <v>9</v>
      </c>
      <c r="P115">
        <f t="shared" si="2"/>
        <v>10</v>
      </c>
      <c r="Q115">
        <f t="shared" si="3"/>
        <v>0</v>
      </c>
    </row>
    <row r="116" spans="2:17" x14ac:dyDescent="0.25">
      <c r="B116">
        <v>2480</v>
      </c>
      <c r="C116" t="s">
        <v>78</v>
      </c>
      <c r="D116" t="s">
        <v>45</v>
      </c>
      <c r="E116">
        <v>2327</v>
      </c>
      <c r="F116">
        <v>3</v>
      </c>
      <c r="G116" s="1">
        <v>1095</v>
      </c>
      <c r="H116" t="s">
        <v>49</v>
      </c>
      <c r="I116" s="1">
        <v>3285000</v>
      </c>
      <c r="J116" s="2">
        <v>0.45105324074074077</v>
      </c>
      <c r="K116">
        <v>741766</v>
      </c>
      <c r="L116">
        <v>192</v>
      </c>
      <c r="M116" t="s">
        <v>50</v>
      </c>
      <c r="N116">
        <v>9</v>
      </c>
      <c r="P116">
        <f t="shared" si="2"/>
        <v>0</v>
      </c>
      <c r="Q116">
        <f t="shared" si="3"/>
        <v>135</v>
      </c>
    </row>
    <row r="117" spans="2:17" x14ac:dyDescent="0.25">
      <c r="B117">
        <v>2575</v>
      </c>
      <c r="C117" t="s">
        <v>79</v>
      </c>
      <c r="D117" t="s">
        <v>45</v>
      </c>
      <c r="E117">
        <v>2327</v>
      </c>
      <c r="F117">
        <v>1</v>
      </c>
      <c r="G117" s="1">
        <v>1110</v>
      </c>
      <c r="H117" t="s">
        <v>49</v>
      </c>
      <c r="I117" s="1">
        <v>1110000</v>
      </c>
      <c r="J117" s="2">
        <v>0.45686342592592594</v>
      </c>
      <c r="K117">
        <v>784942</v>
      </c>
      <c r="L117">
        <v>165</v>
      </c>
      <c r="M117" t="s">
        <v>52</v>
      </c>
      <c r="N117">
        <v>9</v>
      </c>
      <c r="P117">
        <f t="shared" si="2"/>
        <v>0</v>
      </c>
      <c r="Q117">
        <f t="shared" si="3"/>
        <v>135</v>
      </c>
    </row>
    <row r="118" spans="2:17" x14ac:dyDescent="0.25">
      <c r="B118">
        <v>2576</v>
      </c>
      <c r="C118" t="s">
        <v>79</v>
      </c>
      <c r="D118" t="s">
        <v>45</v>
      </c>
      <c r="E118">
        <v>2327</v>
      </c>
      <c r="F118">
        <v>3</v>
      </c>
      <c r="G118" s="1">
        <v>1110</v>
      </c>
      <c r="H118" t="s">
        <v>49</v>
      </c>
      <c r="I118" s="1">
        <v>3330000</v>
      </c>
      <c r="J118" s="2">
        <v>0.45686342592592594</v>
      </c>
      <c r="K118">
        <v>784943</v>
      </c>
      <c r="L118">
        <v>165</v>
      </c>
      <c r="M118" t="s">
        <v>52</v>
      </c>
      <c r="N118">
        <v>9</v>
      </c>
      <c r="P118">
        <f t="shared" si="2"/>
        <v>0</v>
      </c>
      <c r="Q118">
        <f t="shared" si="3"/>
        <v>135</v>
      </c>
    </row>
    <row r="119" spans="2:17" x14ac:dyDescent="0.25">
      <c r="B119">
        <v>2577</v>
      </c>
      <c r="C119" t="s">
        <v>79</v>
      </c>
      <c r="D119" t="s">
        <v>45</v>
      </c>
      <c r="E119">
        <v>2327</v>
      </c>
      <c r="F119">
        <v>1</v>
      </c>
      <c r="G119" s="1">
        <v>1110</v>
      </c>
      <c r="H119" t="s">
        <v>49</v>
      </c>
      <c r="I119" s="1">
        <v>1110000</v>
      </c>
      <c r="J119" s="2">
        <v>0.45686342592592594</v>
      </c>
      <c r="K119">
        <v>784944</v>
      </c>
      <c r="L119">
        <v>165</v>
      </c>
      <c r="M119" t="s">
        <v>52</v>
      </c>
      <c r="N119">
        <v>9</v>
      </c>
      <c r="P119">
        <f t="shared" si="2"/>
        <v>0</v>
      </c>
      <c r="Q119">
        <f t="shared" si="3"/>
        <v>135</v>
      </c>
    </row>
    <row r="120" spans="2:17" x14ac:dyDescent="0.25">
      <c r="B120" t="s">
        <v>51</v>
      </c>
      <c r="P120">
        <f t="shared" si="2"/>
        <v>0</v>
      </c>
      <c r="Q120">
        <f t="shared" si="3"/>
        <v>0</v>
      </c>
    </row>
    <row r="121" spans="2:17" x14ac:dyDescent="0.25">
      <c r="B121">
        <v>2578</v>
      </c>
      <c r="C121" t="s">
        <v>79</v>
      </c>
      <c r="D121" t="s">
        <v>45</v>
      </c>
      <c r="E121">
        <v>2327</v>
      </c>
      <c r="F121">
        <v>2</v>
      </c>
      <c r="G121" s="1">
        <v>1110</v>
      </c>
      <c r="H121" t="s">
        <v>49</v>
      </c>
      <c r="I121" s="1">
        <v>2220000</v>
      </c>
      <c r="J121" s="2">
        <v>0.45686342592592594</v>
      </c>
      <c r="K121">
        <v>784945</v>
      </c>
      <c r="L121">
        <v>165</v>
      </c>
      <c r="M121" t="s">
        <v>52</v>
      </c>
      <c r="N121">
        <v>9</v>
      </c>
      <c r="P121">
        <f t="shared" si="2"/>
        <v>0</v>
      </c>
      <c r="Q121">
        <f t="shared" si="3"/>
        <v>135</v>
      </c>
    </row>
    <row r="122" spans="2:17" x14ac:dyDescent="0.25">
      <c r="B122">
        <v>2579</v>
      </c>
      <c r="C122" t="s">
        <v>79</v>
      </c>
      <c r="D122" t="s">
        <v>45</v>
      </c>
      <c r="E122">
        <v>2327</v>
      </c>
      <c r="F122">
        <v>3</v>
      </c>
      <c r="G122" s="1">
        <v>1110</v>
      </c>
      <c r="H122" t="s">
        <v>49</v>
      </c>
      <c r="I122" s="1">
        <v>3330000</v>
      </c>
      <c r="J122" s="2">
        <v>0.45686342592592594</v>
      </c>
      <c r="K122">
        <v>784946</v>
      </c>
      <c r="L122">
        <v>165</v>
      </c>
      <c r="M122" t="s">
        <v>52</v>
      </c>
      <c r="N122">
        <v>9</v>
      </c>
      <c r="P122">
        <f t="shared" si="2"/>
        <v>0</v>
      </c>
      <c r="Q122">
        <f t="shared" si="3"/>
        <v>135</v>
      </c>
    </row>
    <row r="123" spans="2:17" x14ac:dyDescent="0.25">
      <c r="B123">
        <v>2580</v>
      </c>
      <c r="C123" t="s">
        <v>79</v>
      </c>
      <c r="D123" t="s">
        <v>45</v>
      </c>
      <c r="E123">
        <v>2327</v>
      </c>
      <c r="F123">
        <v>1</v>
      </c>
      <c r="G123" s="1">
        <v>1110</v>
      </c>
      <c r="H123" t="s">
        <v>49</v>
      </c>
      <c r="I123" s="1">
        <v>1110000</v>
      </c>
      <c r="J123" s="2">
        <v>0.45686342592592594</v>
      </c>
      <c r="K123">
        <v>784947</v>
      </c>
      <c r="L123">
        <v>165</v>
      </c>
      <c r="M123" t="s">
        <v>52</v>
      </c>
      <c r="N123">
        <v>9</v>
      </c>
      <c r="P123">
        <f t="shared" si="2"/>
        <v>0</v>
      </c>
      <c r="Q123">
        <f t="shared" si="3"/>
        <v>135</v>
      </c>
    </row>
    <row r="124" spans="2:17" x14ac:dyDescent="0.25">
      <c r="B124">
        <v>2581</v>
      </c>
      <c r="C124" t="s">
        <v>79</v>
      </c>
      <c r="D124" t="s">
        <v>45</v>
      </c>
      <c r="E124">
        <v>2327</v>
      </c>
      <c r="F124">
        <v>1</v>
      </c>
      <c r="G124" s="1">
        <v>1110</v>
      </c>
      <c r="H124" t="s">
        <v>49</v>
      </c>
      <c r="I124" s="1">
        <v>1110000</v>
      </c>
      <c r="J124" s="2">
        <v>0.45686342592592594</v>
      </c>
      <c r="K124">
        <v>784948</v>
      </c>
      <c r="L124">
        <v>165</v>
      </c>
      <c r="M124" t="s">
        <v>52</v>
      </c>
      <c r="N124">
        <v>9</v>
      </c>
      <c r="P124">
        <f t="shared" si="2"/>
        <v>0</v>
      </c>
      <c r="Q124">
        <f t="shared" si="3"/>
        <v>135</v>
      </c>
    </row>
    <row r="125" spans="2:17" x14ac:dyDescent="0.25">
      <c r="B125">
        <v>2582</v>
      </c>
      <c r="C125" t="s">
        <v>79</v>
      </c>
      <c r="D125" t="s">
        <v>45</v>
      </c>
      <c r="E125">
        <v>2327</v>
      </c>
      <c r="F125">
        <v>1</v>
      </c>
      <c r="G125" s="1">
        <v>1110</v>
      </c>
      <c r="H125" t="s">
        <v>49</v>
      </c>
      <c r="I125" s="1">
        <v>1110000</v>
      </c>
      <c r="J125" s="2">
        <v>0.45686342592592594</v>
      </c>
      <c r="K125">
        <v>784949</v>
      </c>
      <c r="L125">
        <v>165</v>
      </c>
      <c r="M125" t="s">
        <v>52</v>
      </c>
      <c r="N125">
        <v>9</v>
      </c>
      <c r="P125">
        <f t="shared" si="2"/>
        <v>0</v>
      </c>
      <c r="Q125">
        <f t="shared" si="3"/>
        <v>135</v>
      </c>
    </row>
    <row r="126" spans="2:17" x14ac:dyDescent="0.25">
      <c r="B126" t="s">
        <v>51</v>
      </c>
      <c r="P126">
        <f t="shared" si="2"/>
        <v>0</v>
      </c>
      <c r="Q126">
        <f t="shared" si="3"/>
        <v>0</v>
      </c>
    </row>
    <row r="127" spans="2:17" x14ac:dyDescent="0.25">
      <c r="B127">
        <v>2583</v>
      </c>
      <c r="C127" t="s">
        <v>79</v>
      </c>
      <c r="D127" t="s">
        <v>45</v>
      </c>
      <c r="E127">
        <v>2327</v>
      </c>
      <c r="F127">
        <v>1</v>
      </c>
      <c r="G127" s="1">
        <v>1110</v>
      </c>
      <c r="H127" t="s">
        <v>49</v>
      </c>
      <c r="I127" s="1">
        <v>1110000</v>
      </c>
      <c r="J127" s="2">
        <v>0.45686342592592594</v>
      </c>
      <c r="K127">
        <v>784950</v>
      </c>
      <c r="L127">
        <v>165</v>
      </c>
      <c r="M127" t="s">
        <v>52</v>
      </c>
      <c r="N127">
        <v>9</v>
      </c>
      <c r="P127">
        <f t="shared" si="2"/>
        <v>0</v>
      </c>
      <c r="Q127">
        <f t="shared" si="3"/>
        <v>135</v>
      </c>
    </row>
    <row r="128" spans="2:17" x14ac:dyDescent="0.25">
      <c r="B128">
        <v>2584</v>
      </c>
      <c r="C128" t="s">
        <v>79</v>
      </c>
      <c r="D128" t="s">
        <v>45</v>
      </c>
      <c r="E128">
        <v>2327</v>
      </c>
      <c r="F128">
        <v>1</v>
      </c>
      <c r="G128" s="1">
        <v>1110</v>
      </c>
      <c r="H128" t="s">
        <v>49</v>
      </c>
      <c r="I128" s="1">
        <v>1110000</v>
      </c>
      <c r="J128" s="2">
        <v>0.45686342592592594</v>
      </c>
      <c r="K128">
        <v>784951</v>
      </c>
      <c r="L128">
        <v>165</v>
      </c>
      <c r="M128" t="s">
        <v>52</v>
      </c>
      <c r="N128">
        <v>9</v>
      </c>
      <c r="P128">
        <f t="shared" si="2"/>
        <v>0</v>
      </c>
      <c r="Q128">
        <f t="shared" si="3"/>
        <v>135</v>
      </c>
    </row>
    <row r="129" spans="2:17" x14ac:dyDescent="0.25">
      <c r="B129">
        <v>2585</v>
      </c>
      <c r="C129" t="s">
        <v>79</v>
      </c>
      <c r="D129" t="s">
        <v>45</v>
      </c>
      <c r="E129">
        <v>2327</v>
      </c>
      <c r="F129">
        <v>4</v>
      </c>
      <c r="G129" s="1">
        <v>1110</v>
      </c>
      <c r="H129" t="s">
        <v>49</v>
      </c>
      <c r="I129" s="1">
        <v>4440000</v>
      </c>
      <c r="J129" s="2">
        <v>0.45686342592592594</v>
      </c>
      <c r="K129">
        <v>784952</v>
      </c>
      <c r="L129">
        <v>165</v>
      </c>
      <c r="M129" t="s">
        <v>52</v>
      </c>
      <c r="N129">
        <v>9</v>
      </c>
      <c r="P129">
        <f t="shared" si="2"/>
        <v>0</v>
      </c>
      <c r="Q129">
        <f t="shared" si="3"/>
        <v>135</v>
      </c>
    </row>
    <row r="130" spans="2:17" x14ac:dyDescent="0.25">
      <c r="B130">
        <v>2587</v>
      </c>
      <c r="C130" t="s">
        <v>79</v>
      </c>
      <c r="D130" t="s">
        <v>45</v>
      </c>
      <c r="E130">
        <v>2327</v>
      </c>
      <c r="F130">
        <v>4</v>
      </c>
      <c r="G130" s="1">
        <v>1110</v>
      </c>
      <c r="H130" t="s">
        <v>49</v>
      </c>
      <c r="I130" s="1">
        <v>4440000</v>
      </c>
      <c r="J130" s="2">
        <v>0.4569212962962963</v>
      </c>
      <c r="K130">
        <v>785255</v>
      </c>
      <c r="L130">
        <v>165</v>
      </c>
      <c r="M130" t="s">
        <v>52</v>
      </c>
      <c r="N130">
        <v>9</v>
      </c>
      <c r="P130">
        <f t="shared" si="2"/>
        <v>0</v>
      </c>
      <c r="Q130">
        <f t="shared" si="3"/>
        <v>135</v>
      </c>
    </row>
    <row r="131" spans="2:17" x14ac:dyDescent="0.25">
      <c r="B131">
        <v>2588</v>
      </c>
      <c r="C131" t="s">
        <v>79</v>
      </c>
      <c r="D131" t="s">
        <v>45</v>
      </c>
      <c r="E131">
        <v>2327</v>
      </c>
      <c r="F131">
        <v>5</v>
      </c>
      <c r="G131" s="1">
        <v>1110</v>
      </c>
      <c r="H131" t="s">
        <v>49</v>
      </c>
      <c r="I131" s="1">
        <v>5550000</v>
      </c>
      <c r="J131" s="2">
        <v>0.45697916666666666</v>
      </c>
      <c r="K131">
        <v>785623</v>
      </c>
      <c r="L131">
        <v>165</v>
      </c>
      <c r="M131" t="s">
        <v>52</v>
      </c>
      <c r="N131">
        <v>9</v>
      </c>
      <c r="P131">
        <f t="shared" si="2"/>
        <v>0</v>
      </c>
      <c r="Q131">
        <f t="shared" si="3"/>
        <v>135</v>
      </c>
    </row>
    <row r="132" spans="2:17" x14ac:dyDescent="0.25">
      <c r="B132" t="s">
        <v>51</v>
      </c>
      <c r="P132">
        <f t="shared" si="2"/>
        <v>0</v>
      </c>
      <c r="Q132">
        <f t="shared" si="3"/>
        <v>0</v>
      </c>
    </row>
    <row r="133" spans="2:17" x14ac:dyDescent="0.25">
      <c r="B133">
        <v>2589</v>
      </c>
      <c r="C133" t="s">
        <v>79</v>
      </c>
      <c r="D133" t="s">
        <v>45</v>
      </c>
      <c r="E133">
        <v>2327</v>
      </c>
      <c r="F133">
        <v>1</v>
      </c>
      <c r="G133" s="1">
        <v>1110</v>
      </c>
      <c r="H133" t="s">
        <v>49</v>
      </c>
      <c r="I133" s="1">
        <v>1110000</v>
      </c>
      <c r="J133" s="2">
        <v>0.45697916666666666</v>
      </c>
      <c r="K133">
        <v>785624</v>
      </c>
      <c r="L133">
        <v>165</v>
      </c>
      <c r="M133" t="s">
        <v>52</v>
      </c>
      <c r="N133">
        <v>9</v>
      </c>
      <c r="P133">
        <f t="shared" si="2"/>
        <v>0</v>
      </c>
      <c r="Q133">
        <f t="shared" si="3"/>
        <v>135</v>
      </c>
    </row>
    <row r="134" spans="2:17" x14ac:dyDescent="0.25">
      <c r="B134">
        <v>2590</v>
      </c>
      <c r="C134" t="s">
        <v>79</v>
      </c>
      <c r="D134" t="s">
        <v>45</v>
      </c>
      <c r="E134">
        <v>2327</v>
      </c>
      <c r="F134">
        <v>1</v>
      </c>
      <c r="G134" s="1">
        <v>1110</v>
      </c>
      <c r="H134" t="s">
        <v>49</v>
      </c>
      <c r="I134" s="1">
        <v>1110000</v>
      </c>
      <c r="J134" s="2">
        <v>0.45697916666666666</v>
      </c>
      <c r="K134">
        <v>785625</v>
      </c>
      <c r="L134">
        <v>165</v>
      </c>
      <c r="M134" t="s">
        <v>52</v>
      </c>
      <c r="N134">
        <v>9</v>
      </c>
      <c r="P134">
        <f t="shared" si="2"/>
        <v>0</v>
      </c>
      <c r="Q134">
        <f t="shared" si="3"/>
        <v>135</v>
      </c>
    </row>
    <row r="135" spans="2:17" x14ac:dyDescent="0.25">
      <c r="B135">
        <v>2977</v>
      </c>
      <c r="C135" t="s">
        <v>80</v>
      </c>
      <c r="D135" t="s">
        <v>45</v>
      </c>
      <c r="E135">
        <v>2834</v>
      </c>
      <c r="F135">
        <v>1</v>
      </c>
      <c r="G135">
        <v>9.76</v>
      </c>
      <c r="H135" t="s">
        <v>46</v>
      </c>
      <c r="I135" s="1">
        <v>9760</v>
      </c>
      <c r="J135" s="2">
        <v>0.48937499999999995</v>
      </c>
      <c r="K135">
        <v>941067</v>
      </c>
      <c r="L135">
        <v>123</v>
      </c>
      <c r="M135" t="s">
        <v>47</v>
      </c>
      <c r="N135">
        <v>9</v>
      </c>
      <c r="P135">
        <f t="shared" si="2"/>
        <v>100</v>
      </c>
      <c r="Q135">
        <f t="shared" si="3"/>
        <v>0</v>
      </c>
    </row>
    <row r="136" spans="2:17" x14ac:dyDescent="0.25">
      <c r="B136">
        <v>3072</v>
      </c>
      <c r="C136" t="s">
        <v>81</v>
      </c>
      <c r="D136" t="s">
        <v>45</v>
      </c>
      <c r="E136">
        <v>2834</v>
      </c>
      <c r="F136">
        <v>1</v>
      </c>
      <c r="G136">
        <v>9.75</v>
      </c>
      <c r="H136" t="s">
        <v>46</v>
      </c>
      <c r="I136" s="1">
        <v>9750</v>
      </c>
      <c r="J136" s="2">
        <v>0.51129629629629625</v>
      </c>
      <c r="K136">
        <v>1026456</v>
      </c>
      <c r="L136">
        <v>123</v>
      </c>
      <c r="M136" t="s">
        <v>47</v>
      </c>
      <c r="N136">
        <v>9</v>
      </c>
      <c r="P136">
        <f t="shared" ref="P136:P199" si="4">SUMIFS($F$7:$F$843,$E$7:$E$843,E136,$H$7:$H$843,"S")</f>
        <v>100</v>
      </c>
      <c r="Q136">
        <f t="shared" ref="Q136:Q199" si="5">SUMIFS($F$7:$F$843,$E$7:$E$843,E136,$H$7:$H$843,"b")</f>
        <v>0</v>
      </c>
    </row>
    <row r="137" spans="2:17" x14ac:dyDescent="0.25">
      <c r="B137">
        <v>3455</v>
      </c>
      <c r="C137" t="s">
        <v>82</v>
      </c>
      <c r="D137" t="s">
        <v>45</v>
      </c>
      <c r="E137">
        <v>62852</v>
      </c>
      <c r="F137">
        <v>5</v>
      </c>
      <c r="G137">
        <v>105.5</v>
      </c>
      <c r="H137" t="s">
        <v>46</v>
      </c>
      <c r="I137" s="1">
        <v>527500</v>
      </c>
      <c r="J137" s="2">
        <v>0.55393518518518514</v>
      </c>
      <c r="K137">
        <v>532169</v>
      </c>
      <c r="L137">
        <v>123</v>
      </c>
      <c r="M137" t="s">
        <v>47</v>
      </c>
      <c r="N137">
        <v>9</v>
      </c>
      <c r="P137">
        <f t="shared" si="4"/>
        <v>5</v>
      </c>
      <c r="Q137">
        <f t="shared" si="5"/>
        <v>0</v>
      </c>
    </row>
    <row r="138" spans="2:17" x14ac:dyDescent="0.25">
      <c r="B138" t="s">
        <v>51</v>
      </c>
      <c r="P138">
        <f t="shared" si="4"/>
        <v>0</v>
      </c>
      <c r="Q138">
        <f t="shared" si="5"/>
        <v>0</v>
      </c>
    </row>
    <row r="139" spans="2:17" x14ac:dyDescent="0.25">
      <c r="B139">
        <v>2153</v>
      </c>
      <c r="C139" t="s">
        <v>83</v>
      </c>
      <c r="D139" t="s">
        <v>45</v>
      </c>
      <c r="E139">
        <v>2834</v>
      </c>
      <c r="F139">
        <v>1</v>
      </c>
      <c r="G139">
        <v>9.75</v>
      </c>
      <c r="H139" t="s">
        <v>46</v>
      </c>
      <c r="I139" s="1">
        <v>9750</v>
      </c>
      <c r="J139" s="2">
        <v>0.43815972222222221</v>
      </c>
      <c r="K139">
        <v>667146</v>
      </c>
      <c r="L139">
        <v>123</v>
      </c>
      <c r="M139" t="s">
        <v>47</v>
      </c>
      <c r="N139">
        <v>9</v>
      </c>
      <c r="P139">
        <f t="shared" si="4"/>
        <v>100</v>
      </c>
      <c r="Q139">
        <f t="shared" si="5"/>
        <v>0</v>
      </c>
    </row>
    <row r="140" spans="2:17" x14ac:dyDescent="0.25">
      <c r="B140">
        <v>3129</v>
      </c>
      <c r="C140" t="s">
        <v>84</v>
      </c>
      <c r="D140" t="s">
        <v>45</v>
      </c>
      <c r="E140">
        <v>2834</v>
      </c>
      <c r="F140">
        <v>1</v>
      </c>
      <c r="G140">
        <v>9.76</v>
      </c>
      <c r="H140" t="s">
        <v>46</v>
      </c>
      <c r="I140" s="1">
        <v>9760</v>
      </c>
      <c r="J140" s="2">
        <v>0.52408564814814818</v>
      </c>
      <c r="K140">
        <v>1079287</v>
      </c>
      <c r="L140">
        <v>123</v>
      </c>
      <c r="M140" t="s">
        <v>47</v>
      </c>
      <c r="N140">
        <v>9</v>
      </c>
      <c r="P140">
        <f t="shared" si="4"/>
        <v>100</v>
      </c>
      <c r="Q140">
        <f t="shared" si="5"/>
        <v>0</v>
      </c>
    </row>
    <row r="141" spans="2:17" x14ac:dyDescent="0.25">
      <c r="B141">
        <v>3168</v>
      </c>
      <c r="C141" t="s">
        <v>85</v>
      </c>
      <c r="D141" t="s">
        <v>45</v>
      </c>
      <c r="E141">
        <v>2834</v>
      </c>
      <c r="F141">
        <v>1</v>
      </c>
      <c r="G141">
        <v>9.76</v>
      </c>
      <c r="H141" t="s">
        <v>46</v>
      </c>
      <c r="I141" s="1">
        <v>9760</v>
      </c>
      <c r="J141" s="2">
        <v>0.52961805555555552</v>
      </c>
      <c r="K141">
        <v>1105564</v>
      </c>
      <c r="L141">
        <v>123</v>
      </c>
      <c r="M141" t="s">
        <v>47</v>
      </c>
      <c r="N141">
        <v>9</v>
      </c>
      <c r="P141">
        <f t="shared" si="4"/>
        <v>100</v>
      </c>
      <c r="Q141">
        <f t="shared" si="5"/>
        <v>0</v>
      </c>
    </row>
    <row r="142" spans="2:17" x14ac:dyDescent="0.25">
      <c r="B142">
        <v>3306</v>
      </c>
      <c r="C142" t="s">
        <v>86</v>
      </c>
      <c r="D142" t="s">
        <v>45</v>
      </c>
      <c r="E142">
        <v>2834</v>
      </c>
      <c r="F142">
        <v>1</v>
      </c>
      <c r="G142">
        <v>9.76</v>
      </c>
      <c r="H142" t="s">
        <v>46</v>
      </c>
      <c r="I142" s="1">
        <v>9760</v>
      </c>
      <c r="J142" s="2">
        <v>0.54240740740740734</v>
      </c>
      <c r="K142">
        <v>1173500</v>
      </c>
      <c r="L142">
        <v>123</v>
      </c>
      <c r="M142" t="s">
        <v>47</v>
      </c>
      <c r="N142">
        <v>9</v>
      </c>
      <c r="P142">
        <f t="shared" si="4"/>
        <v>100</v>
      </c>
      <c r="Q142">
        <f t="shared" si="5"/>
        <v>0</v>
      </c>
    </row>
    <row r="143" spans="2:17" x14ac:dyDescent="0.25">
      <c r="B143">
        <v>3456</v>
      </c>
      <c r="C143" t="s">
        <v>87</v>
      </c>
      <c r="D143" t="s">
        <v>45</v>
      </c>
      <c r="E143">
        <v>26095</v>
      </c>
      <c r="F143">
        <v>10</v>
      </c>
      <c r="G143">
        <v>104</v>
      </c>
      <c r="H143" t="s">
        <v>46</v>
      </c>
      <c r="I143" s="1">
        <v>1040000</v>
      </c>
      <c r="J143" s="2">
        <v>0.55399305555555556</v>
      </c>
      <c r="K143">
        <v>532369</v>
      </c>
      <c r="L143">
        <v>20</v>
      </c>
      <c r="M143" t="s">
        <v>48</v>
      </c>
      <c r="N143">
        <v>9</v>
      </c>
      <c r="P143">
        <f t="shared" si="4"/>
        <v>58</v>
      </c>
      <c r="Q143">
        <f t="shared" si="5"/>
        <v>263</v>
      </c>
    </row>
    <row r="144" spans="2:17" x14ac:dyDescent="0.25">
      <c r="B144" t="s">
        <v>53</v>
      </c>
      <c r="P144">
        <f t="shared" si="4"/>
        <v>0</v>
      </c>
      <c r="Q144">
        <f t="shared" si="5"/>
        <v>0</v>
      </c>
    </row>
    <row r="145" spans="1:20" x14ac:dyDescent="0.25">
      <c r="A145" t="s">
        <v>54</v>
      </c>
      <c r="P145">
        <f t="shared" si="4"/>
        <v>0</v>
      </c>
      <c r="Q145">
        <f t="shared" si="5"/>
        <v>0</v>
      </c>
    </row>
    <row r="146" spans="1:20" x14ac:dyDescent="0.25"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6</v>
      </c>
      <c r="H146" t="s">
        <v>2</v>
      </c>
      <c r="I146">
        <v>4</v>
      </c>
      <c r="P146">
        <f t="shared" si="4"/>
        <v>0</v>
      </c>
      <c r="Q146">
        <f t="shared" si="5"/>
        <v>0</v>
      </c>
    </row>
    <row r="147" spans="1:20" x14ac:dyDescent="0.25">
      <c r="B147" t="s">
        <v>7</v>
      </c>
      <c r="C147" t="s">
        <v>2</v>
      </c>
      <c r="D147">
        <v>20180612</v>
      </c>
      <c r="E147" t="s">
        <v>8</v>
      </c>
      <c r="F147" t="s">
        <v>9</v>
      </c>
      <c r="G147" t="s">
        <v>10</v>
      </c>
      <c r="H147" t="s">
        <v>11</v>
      </c>
      <c r="I147" t="s">
        <v>12</v>
      </c>
      <c r="J147" t="s">
        <v>13</v>
      </c>
      <c r="K147" t="s">
        <v>14</v>
      </c>
      <c r="L147" t="s">
        <v>15</v>
      </c>
      <c r="M147" t="s">
        <v>16</v>
      </c>
      <c r="N147" t="s">
        <v>17</v>
      </c>
      <c r="O147" t="s">
        <v>18</v>
      </c>
      <c r="P147">
        <f t="shared" si="4"/>
        <v>0</v>
      </c>
      <c r="Q147">
        <f t="shared" si="5"/>
        <v>0</v>
      </c>
      <c r="R147" t="s">
        <v>19</v>
      </c>
      <c r="S147" t="s">
        <v>20</v>
      </c>
    </row>
    <row r="148" spans="1:20" x14ac:dyDescent="0.25">
      <c r="P148">
        <f t="shared" si="4"/>
        <v>0</v>
      </c>
      <c r="Q148">
        <f t="shared" si="5"/>
        <v>0</v>
      </c>
    </row>
    <row r="149" spans="1:20" x14ac:dyDescent="0.25">
      <c r="B149" t="s">
        <v>21</v>
      </c>
      <c r="C149" t="s">
        <v>22</v>
      </c>
      <c r="D149" t="s">
        <v>23</v>
      </c>
      <c r="E149" t="s">
        <v>24</v>
      </c>
      <c r="F149" t="s">
        <v>25</v>
      </c>
      <c r="G149" t="s">
        <v>26</v>
      </c>
      <c r="H149" t="s">
        <v>27</v>
      </c>
      <c r="I149" t="s">
        <v>28</v>
      </c>
      <c r="J149" t="s">
        <v>29</v>
      </c>
      <c r="K149" t="s">
        <v>30</v>
      </c>
      <c r="L149" t="s">
        <v>31</v>
      </c>
      <c r="M149" t="s">
        <v>32</v>
      </c>
      <c r="N149" t="s">
        <v>33</v>
      </c>
      <c r="O149" t="s">
        <v>34</v>
      </c>
      <c r="P149">
        <f t="shared" si="4"/>
        <v>0</v>
      </c>
      <c r="Q149">
        <f t="shared" si="5"/>
        <v>0</v>
      </c>
      <c r="R149" t="s">
        <v>35</v>
      </c>
      <c r="S149" t="s">
        <v>36</v>
      </c>
      <c r="T149" t="s">
        <v>37</v>
      </c>
    </row>
    <row r="150" spans="1:20" x14ac:dyDescent="0.25">
      <c r="B150" t="s">
        <v>38</v>
      </c>
      <c r="C150" t="s">
        <v>39</v>
      </c>
      <c r="D150" t="s">
        <v>38</v>
      </c>
      <c r="E150" t="s">
        <v>38</v>
      </c>
      <c r="F150" t="s">
        <v>40</v>
      </c>
      <c r="G150" t="s">
        <v>38</v>
      </c>
      <c r="H150" t="s">
        <v>41</v>
      </c>
      <c r="I150" t="s">
        <v>42</v>
      </c>
      <c r="J150" t="s">
        <v>39</v>
      </c>
      <c r="K150" t="s">
        <v>38</v>
      </c>
      <c r="L150" t="s">
        <v>38</v>
      </c>
      <c r="M150" t="s">
        <v>43</v>
      </c>
      <c r="N150" t="s">
        <v>43</v>
      </c>
      <c r="O150" t="s">
        <v>44</v>
      </c>
      <c r="P150">
        <f t="shared" si="4"/>
        <v>0</v>
      </c>
      <c r="Q150">
        <f t="shared" si="5"/>
        <v>0</v>
      </c>
    </row>
    <row r="151" spans="1:20" x14ac:dyDescent="0.25">
      <c r="B151">
        <v>442</v>
      </c>
      <c r="C151" t="s">
        <v>88</v>
      </c>
      <c r="D151" t="s">
        <v>45</v>
      </c>
      <c r="E151">
        <v>45551</v>
      </c>
      <c r="F151">
        <v>3</v>
      </c>
      <c r="G151">
        <v>107</v>
      </c>
      <c r="H151" t="s">
        <v>46</v>
      </c>
      <c r="I151" s="1">
        <v>321000</v>
      </c>
      <c r="J151" s="2">
        <v>0.3822916666666667</v>
      </c>
      <c r="K151">
        <v>82561</v>
      </c>
      <c r="L151">
        <v>20</v>
      </c>
      <c r="M151" t="s">
        <v>48</v>
      </c>
      <c r="N151">
        <v>9</v>
      </c>
      <c r="P151">
        <f t="shared" si="4"/>
        <v>14</v>
      </c>
      <c r="Q151">
        <f t="shared" si="5"/>
        <v>0</v>
      </c>
    </row>
    <row r="152" spans="1:20" x14ac:dyDescent="0.25">
      <c r="B152">
        <v>2475</v>
      </c>
      <c r="C152" t="s">
        <v>89</v>
      </c>
      <c r="D152" t="s">
        <v>45</v>
      </c>
      <c r="E152">
        <v>45551</v>
      </c>
      <c r="F152">
        <v>5</v>
      </c>
      <c r="G152">
        <v>106.95</v>
      </c>
      <c r="H152" t="s">
        <v>46</v>
      </c>
      <c r="I152" s="1">
        <v>534750</v>
      </c>
      <c r="J152" s="2">
        <v>0.45090277777777782</v>
      </c>
      <c r="K152">
        <v>346354</v>
      </c>
      <c r="L152">
        <v>20</v>
      </c>
      <c r="M152" t="s">
        <v>48</v>
      </c>
      <c r="N152">
        <v>9</v>
      </c>
      <c r="P152">
        <f t="shared" si="4"/>
        <v>14</v>
      </c>
      <c r="Q152">
        <f t="shared" si="5"/>
        <v>0</v>
      </c>
    </row>
    <row r="153" spans="1:20" x14ac:dyDescent="0.25">
      <c r="B153">
        <v>2920</v>
      </c>
      <c r="C153" t="s">
        <v>90</v>
      </c>
      <c r="D153" t="s">
        <v>45</v>
      </c>
      <c r="E153">
        <v>2834</v>
      </c>
      <c r="F153">
        <v>1</v>
      </c>
      <c r="G153">
        <v>9.76</v>
      </c>
      <c r="H153" t="s">
        <v>46</v>
      </c>
      <c r="I153" s="1">
        <v>9760</v>
      </c>
      <c r="J153" s="2">
        <v>0.47839120370370369</v>
      </c>
      <c r="K153">
        <v>895974</v>
      </c>
      <c r="L153">
        <v>123</v>
      </c>
      <c r="M153" t="s">
        <v>47</v>
      </c>
      <c r="N153">
        <v>9</v>
      </c>
      <c r="P153">
        <f t="shared" si="4"/>
        <v>100</v>
      </c>
      <c r="Q153">
        <f t="shared" si="5"/>
        <v>0</v>
      </c>
    </row>
    <row r="154" spans="1:20" x14ac:dyDescent="0.25">
      <c r="B154">
        <v>3512</v>
      </c>
      <c r="C154" t="s">
        <v>91</v>
      </c>
      <c r="D154" t="s">
        <v>45</v>
      </c>
      <c r="E154">
        <v>26095</v>
      </c>
      <c r="F154">
        <v>1</v>
      </c>
      <c r="G154">
        <v>104.15</v>
      </c>
      <c r="H154" t="s">
        <v>49</v>
      </c>
      <c r="I154" s="1">
        <v>104150</v>
      </c>
      <c r="J154" s="2">
        <v>0.55543981481481486</v>
      </c>
      <c r="K154">
        <v>536003</v>
      </c>
      <c r="L154">
        <v>123</v>
      </c>
      <c r="M154" t="s">
        <v>47</v>
      </c>
      <c r="N154">
        <v>9</v>
      </c>
      <c r="P154">
        <f t="shared" si="4"/>
        <v>58</v>
      </c>
      <c r="Q154">
        <f t="shared" si="5"/>
        <v>263</v>
      </c>
    </row>
    <row r="155" spans="1:20" x14ac:dyDescent="0.25">
      <c r="B155">
        <v>3513</v>
      </c>
      <c r="C155" t="s">
        <v>91</v>
      </c>
      <c r="D155" t="s">
        <v>45</v>
      </c>
      <c r="E155">
        <v>26095</v>
      </c>
      <c r="F155">
        <v>19</v>
      </c>
      <c r="G155">
        <v>104.15</v>
      </c>
      <c r="H155" t="s">
        <v>49</v>
      </c>
      <c r="I155" s="1">
        <v>1978850</v>
      </c>
      <c r="J155" s="2">
        <v>0.55543981481481486</v>
      </c>
      <c r="K155">
        <v>536004</v>
      </c>
      <c r="L155">
        <v>123</v>
      </c>
      <c r="M155" t="s">
        <v>47</v>
      </c>
      <c r="N155">
        <v>9</v>
      </c>
      <c r="P155">
        <f t="shared" si="4"/>
        <v>58</v>
      </c>
      <c r="Q155">
        <f t="shared" si="5"/>
        <v>263</v>
      </c>
    </row>
    <row r="156" spans="1:20" x14ac:dyDescent="0.25">
      <c r="B156" t="s">
        <v>51</v>
      </c>
      <c r="P156">
        <f t="shared" si="4"/>
        <v>0</v>
      </c>
      <c r="Q156">
        <f t="shared" si="5"/>
        <v>0</v>
      </c>
    </row>
    <row r="157" spans="1:20" x14ac:dyDescent="0.25">
      <c r="B157">
        <v>2482</v>
      </c>
      <c r="C157" t="s">
        <v>92</v>
      </c>
      <c r="D157" t="s">
        <v>45</v>
      </c>
      <c r="E157">
        <v>2327</v>
      </c>
      <c r="F157">
        <v>3</v>
      </c>
      <c r="G157" s="1">
        <v>1095</v>
      </c>
      <c r="H157" t="s">
        <v>49</v>
      </c>
      <c r="I157" s="1">
        <v>3285000</v>
      </c>
      <c r="J157" s="2">
        <v>0.45111111111111107</v>
      </c>
      <c r="K157">
        <v>742326</v>
      </c>
      <c r="L157">
        <v>192</v>
      </c>
      <c r="M157" t="s">
        <v>50</v>
      </c>
      <c r="N157">
        <v>9</v>
      </c>
      <c r="P157">
        <f t="shared" si="4"/>
        <v>0</v>
      </c>
      <c r="Q157">
        <f t="shared" si="5"/>
        <v>135</v>
      </c>
    </row>
    <row r="158" spans="1:20" x14ac:dyDescent="0.25">
      <c r="B158">
        <v>3029</v>
      </c>
      <c r="C158" t="s">
        <v>93</v>
      </c>
      <c r="D158" t="s">
        <v>45</v>
      </c>
      <c r="E158">
        <v>2834</v>
      </c>
      <c r="F158">
        <v>1</v>
      </c>
      <c r="G158">
        <v>9.76</v>
      </c>
      <c r="H158" t="s">
        <v>46</v>
      </c>
      <c r="I158" s="1">
        <v>9760</v>
      </c>
      <c r="J158" s="2">
        <v>0.50217592592592586</v>
      </c>
      <c r="K158">
        <v>992981</v>
      </c>
      <c r="L158">
        <v>123</v>
      </c>
      <c r="M158" t="s">
        <v>47</v>
      </c>
      <c r="N158">
        <v>9</v>
      </c>
      <c r="P158">
        <f t="shared" si="4"/>
        <v>100</v>
      </c>
      <c r="Q158">
        <f t="shared" si="5"/>
        <v>0</v>
      </c>
    </row>
    <row r="159" spans="1:20" x14ac:dyDescent="0.25">
      <c r="B159">
        <v>3350</v>
      </c>
      <c r="C159" t="s">
        <v>94</v>
      </c>
      <c r="D159" t="s">
        <v>45</v>
      </c>
      <c r="E159">
        <v>26095</v>
      </c>
      <c r="F159">
        <v>10</v>
      </c>
      <c r="G159">
        <v>104</v>
      </c>
      <c r="H159" t="s">
        <v>46</v>
      </c>
      <c r="I159" s="1">
        <v>1040000</v>
      </c>
      <c r="J159" s="2">
        <v>0.54701388888888891</v>
      </c>
      <c r="K159">
        <v>515151</v>
      </c>
      <c r="L159">
        <v>20</v>
      </c>
      <c r="M159" t="s">
        <v>48</v>
      </c>
      <c r="N159">
        <v>9</v>
      </c>
      <c r="P159">
        <f t="shared" si="4"/>
        <v>58</v>
      </c>
      <c r="Q159">
        <f t="shared" si="5"/>
        <v>263</v>
      </c>
    </row>
    <row r="160" spans="1:20" x14ac:dyDescent="0.25">
      <c r="B160">
        <v>3453</v>
      </c>
      <c r="C160" t="s">
        <v>95</v>
      </c>
      <c r="D160" t="s">
        <v>45</v>
      </c>
      <c r="E160">
        <v>2834</v>
      </c>
      <c r="F160">
        <v>1</v>
      </c>
      <c r="G160">
        <v>9.77</v>
      </c>
      <c r="H160" t="s">
        <v>46</v>
      </c>
      <c r="I160" s="1">
        <v>9770</v>
      </c>
      <c r="J160" s="2">
        <v>0.55333333333333334</v>
      </c>
      <c r="K160">
        <v>1244354</v>
      </c>
      <c r="L160">
        <v>123</v>
      </c>
      <c r="M160" t="s">
        <v>47</v>
      </c>
      <c r="N160">
        <v>9</v>
      </c>
      <c r="P160">
        <f t="shared" si="4"/>
        <v>100</v>
      </c>
      <c r="Q160">
        <f t="shared" si="5"/>
        <v>0</v>
      </c>
    </row>
    <row r="161" spans="2:17" x14ac:dyDescent="0.25">
      <c r="B161">
        <v>1625</v>
      </c>
      <c r="C161" t="s">
        <v>96</v>
      </c>
      <c r="D161" t="s">
        <v>45</v>
      </c>
      <c r="E161">
        <v>2456</v>
      </c>
      <c r="F161">
        <v>1</v>
      </c>
      <c r="G161">
        <v>200</v>
      </c>
      <c r="H161" t="s">
        <v>46</v>
      </c>
      <c r="I161" s="1">
        <v>200000</v>
      </c>
      <c r="J161" s="2">
        <v>0.41936342592592596</v>
      </c>
      <c r="K161">
        <v>527835</v>
      </c>
      <c r="L161">
        <v>191</v>
      </c>
      <c r="M161" t="s">
        <v>55</v>
      </c>
      <c r="N161">
        <v>9</v>
      </c>
      <c r="P161">
        <f t="shared" si="4"/>
        <v>10</v>
      </c>
      <c r="Q161">
        <f t="shared" si="5"/>
        <v>0</v>
      </c>
    </row>
    <row r="162" spans="2:17" x14ac:dyDescent="0.25">
      <c r="B162" t="s">
        <v>51</v>
      </c>
      <c r="P162">
        <f t="shared" si="4"/>
        <v>0</v>
      </c>
      <c r="Q162">
        <f t="shared" si="5"/>
        <v>0</v>
      </c>
    </row>
    <row r="163" spans="2:17" x14ac:dyDescent="0.25">
      <c r="B163">
        <v>2056</v>
      </c>
      <c r="C163" t="s">
        <v>97</v>
      </c>
      <c r="D163" t="s">
        <v>45</v>
      </c>
      <c r="E163">
        <v>2834</v>
      </c>
      <c r="F163">
        <v>1</v>
      </c>
      <c r="G163">
        <v>9.74</v>
      </c>
      <c r="H163" t="s">
        <v>46</v>
      </c>
      <c r="I163" s="1">
        <v>9740</v>
      </c>
      <c r="J163" s="2">
        <v>0.43083333333333335</v>
      </c>
      <c r="K163">
        <v>621723</v>
      </c>
      <c r="L163">
        <v>123</v>
      </c>
      <c r="M163" t="s">
        <v>47</v>
      </c>
      <c r="N163">
        <v>9</v>
      </c>
      <c r="P163">
        <f t="shared" si="4"/>
        <v>100</v>
      </c>
      <c r="Q163">
        <f t="shared" si="5"/>
        <v>0</v>
      </c>
    </row>
    <row r="164" spans="2:17" x14ac:dyDescent="0.25">
      <c r="B164">
        <v>2140</v>
      </c>
      <c r="C164" t="s">
        <v>98</v>
      </c>
      <c r="D164" t="s">
        <v>45</v>
      </c>
      <c r="E164">
        <v>24565</v>
      </c>
      <c r="F164">
        <v>1</v>
      </c>
      <c r="G164">
        <v>215</v>
      </c>
      <c r="H164" t="s">
        <v>46</v>
      </c>
      <c r="I164" s="1">
        <v>215000</v>
      </c>
      <c r="J164" s="2">
        <v>0.43591435185185184</v>
      </c>
      <c r="K164">
        <v>306053</v>
      </c>
      <c r="L164">
        <v>123</v>
      </c>
      <c r="M164" t="s">
        <v>47</v>
      </c>
      <c r="N164">
        <v>9</v>
      </c>
      <c r="P164">
        <f t="shared" si="4"/>
        <v>4</v>
      </c>
      <c r="Q164">
        <f t="shared" si="5"/>
        <v>0</v>
      </c>
    </row>
    <row r="165" spans="2:17" x14ac:dyDescent="0.25">
      <c r="B165">
        <v>2470</v>
      </c>
      <c r="C165" t="s">
        <v>99</v>
      </c>
      <c r="D165" t="s">
        <v>45</v>
      </c>
      <c r="E165">
        <v>2327</v>
      </c>
      <c r="F165">
        <v>2</v>
      </c>
      <c r="G165" s="1">
        <v>1095</v>
      </c>
      <c r="H165" t="s">
        <v>49</v>
      </c>
      <c r="I165" s="1">
        <v>2190000</v>
      </c>
      <c r="J165" s="2">
        <v>0.45082175925925921</v>
      </c>
      <c r="K165">
        <v>739542</v>
      </c>
      <c r="L165">
        <v>192</v>
      </c>
      <c r="M165" t="s">
        <v>50</v>
      </c>
      <c r="N165">
        <v>9</v>
      </c>
      <c r="P165">
        <f t="shared" si="4"/>
        <v>0</v>
      </c>
      <c r="Q165">
        <f t="shared" si="5"/>
        <v>135</v>
      </c>
    </row>
    <row r="166" spans="2:17" x14ac:dyDescent="0.25">
      <c r="B166">
        <v>2471</v>
      </c>
      <c r="C166" t="s">
        <v>99</v>
      </c>
      <c r="D166" t="s">
        <v>45</v>
      </c>
      <c r="E166">
        <v>2327</v>
      </c>
      <c r="F166">
        <v>1</v>
      </c>
      <c r="G166" s="1">
        <v>1095</v>
      </c>
      <c r="H166" t="s">
        <v>49</v>
      </c>
      <c r="I166" s="1">
        <v>1095000</v>
      </c>
      <c r="J166" s="2">
        <v>0.45082175925925921</v>
      </c>
      <c r="K166">
        <v>739543</v>
      </c>
      <c r="L166">
        <v>192</v>
      </c>
      <c r="M166" t="s">
        <v>50</v>
      </c>
      <c r="N166">
        <v>9</v>
      </c>
      <c r="P166">
        <f t="shared" si="4"/>
        <v>0</v>
      </c>
      <c r="Q166">
        <f t="shared" si="5"/>
        <v>135</v>
      </c>
    </row>
    <row r="167" spans="2:17" x14ac:dyDescent="0.25">
      <c r="B167">
        <v>2473</v>
      </c>
      <c r="C167" t="s">
        <v>100</v>
      </c>
      <c r="D167" t="s">
        <v>45</v>
      </c>
      <c r="E167">
        <v>2327</v>
      </c>
      <c r="F167">
        <v>2</v>
      </c>
      <c r="G167" s="1">
        <v>1095</v>
      </c>
      <c r="H167" t="s">
        <v>49</v>
      </c>
      <c r="I167" s="1">
        <v>2190000</v>
      </c>
      <c r="J167" s="2">
        <v>0.45087962962962963</v>
      </c>
      <c r="K167">
        <v>740061</v>
      </c>
      <c r="L167">
        <v>192</v>
      </c>
      <c r="M167" t="s">
        <v>50</v>
      </c>
      <c r="N167">
        <v>9</v>
      </c>
      <c r="P167">
        <f t="shared" si="4"/>
        <v>0</v>
      </c>
      <c r="Q167">
        <f t="shared" si="5"/>
        <v>135</v>
      </c>
    </row>
    <row r="168" spans="2:17" x14ac:dyDescent="0.25">
      <c r="B168" t="s">
        <v>51</v>
      </c>
      <c r="P168">
        <f t="shared" si="4"/>
        <v>0</v>
      </c>
      <c r="Q168">
        <f t="shared" si="5"/>
        <v>0</v>
      </c>
    </row>
    <row r="169" spans="2:17" x14ac:dyDescent="0.25">
      <c r="B169">
        <v>2474</v>
      </c>
      <c r="C169" t="s">
        <v>100</v>
      </c>
      <c r="D169" t="s">
        <v>45</v>
      </c>
      <c r="E169">
        <v>2327</v>
      </c>
      <c r="F169">
        <v>1</v>
      </c>
      <c r="G169" s="1">
        <v>1095</v>
      </c>
      <c r="H169" t="s">
        <v>49</v>
      </c>
      <c r="I169" s="1">
        <v>1095000</v>
      </c>
      <c r="J169" s="2">
        <v>0.45087962962962963</v>
      </c>
      <c r="K169">
        <v>740062</v>
      </c>
      <c r="L169">
        <v>192</v>
      </c>
      <c r="M169" t="s">
        <v>50</v>
      </c>
      <c r="N169">
        <v>9</v>
      </c>
      <c r="P169">
        <f t="shared" si="4"/>
        <v>0</v>
      </c>
      <c r="Q169">
        <f t="shared" si="5"/>
        <v>135</v>
      </c>
    </row>
    <row r="170" spans="2:17" x14ac:dyDescent="0.25">
      <c r="B170">
        <v>1563</v>
      </c>
      <c r="C170" t="s">
        <v>101</v>
      </c>
      <c r="D170" t="s">
        <v>45</v>
      </c>
      <c r="E170">
        <v>2327</v>
      </c>
      <c r="F170">
        <v>2</v>
      </c>
      <c r="G170" s="1">
        <v>1140</v>
      </c>
      <c r="H170" t="s">
        <v>49</v>
      </c>
      <c r="I170" s="1">
        <v>2280000</v>
      </c>
      <c r="J170" s="2">
        <v>0.41693287037037036</v>
      </c>
      <c r="K170">
        <v>509801</v>
      </c>
      <c r="L170">
        <v>192</v>
      </c>
      <c r="M170" t="s">
        <v>50</v>
      </c>
      <c r="N170">
        <v>9</v>
      </c>
      <c r="P170">
        <f t="shared" si="4"/>
        <v>0</v>
      </c>
      <c r="Q170">
        <f t="shared" si="5"/>
        <v>135</v>
      </c>
    </row>
    <row r="171" spans="2:17" x14ac:dyDescent="0.25">
      <c r="B171">
        <v>1662</v>
      </c>
      <c r="C171" t="s">
        <v>102</v>
      </c>
      <c r="D171" t="s">
        <v>45</v>
      </c>
      <c r="E171">
        <v>2456</v>
      </c>
      <c r="F171">
        <v>1</v>
      </c>
      <c r="G171">
        <v>200.5</v>
      </c>
      <c r="H171" t="s">
        <v>46</v>
      </c>
      <c r="I171" s="1">
        <v>200500</v>
      </c>
      <c r="J171" s="2">
        <v>0.42017361111111112</v>
      </c>
      <c r="K171">
        <v>533532</v>
      </c>
      <c r="L171">
        <v>191</v>
      </c>
      <c r="M171" t="s">
        <v>55</v>
      </c>
      <c r="N171">
        <v>9</v>
      </c>
      <c r="P171">
        <f t="shared" si="4"/>
        <v>10</v>
      </c>
      <c r="Q171">
        <f t="shared" si="5"/>
        <v>0</v>
      </c>
    </row>
    <row r="172" spans="2:17" x14ac:dyDescent="0.25">
      <c r="B172">
        <v>3135</v>
      </c>
      <c r="C172" t="s">
        <v>103</v>
      </c>
      <c r="D172" t="s">
        <v>45</v>
      </c>
      <c r="E172">
        <v>2834</v>
      </c>
      <c r="F172">
        <v>1</v>
      </c>
      <c r="G172">
        <v>9.76</v>
      </c>
      <c r="H172" t="s">
        <v>46</v>
      </c>
      <c r="I172" s="1">
        <v>9760</v>
      </c>
      <c r="J172" s="2">
        <v>0.5259490740740741</v>
      </c>
      <c r="K172">
        <v>1087235</v>
      </c>
      <c r="L172">
        <v>123</v>
      </c>
      <c r="M172" t="s">
        <v>47</v>
      </c>
      <c r="N172">
        <v>9</v>
      </c>
      <c r="P172">
        <f t="shared" si="4"/>
        <v>100</v>
      </c>
      <c r="Q172">
        <f t="shared" si="5"/>
        <v>0</v>
      </c>
    </row>
    <row r="173" spans="2:17" x14ac:dyDescent="0.25">
      <c r="B173">
        <v>3436</v>
      </c>
      <c r="C173" t="s">
        <v>104</v>
      </c>
      <c r="D173" t="s">
        <v>45</v>
      </c>
      <c r="E173">
        <v>2834</v>
      </c>
      <c r="F173">
        <v>1</v>
      </c>
      <c r="G173">
        <v>9.77</v>
      </c>
      <c r="H173" t="s">
        <v>46</v>
      </c>
      <c r="I173" s="1">
        <v>9770</v>
      </c>
      <c r="J173" s="2">
        <v>0.55152777777777773</v>
      </c>
      <c r="K173">
        <v>1230609</v>
      </c>
      <c r="L173">
        <v>123</v>
      </c>
      <c r="M173" t="s">
        <v>47</v>
      </c>
      <c r="N173">
        <v>9</v>
      </c>
      <c r="P173">
        <f t="shared" si="4"/>
        <v>100</v>
      </c>
      <c r="Q173">
        <f t="shared" si="5"/>
        <v>0</v>
      </c>
    </row>
    <row r="174" spans="2:17" x14ac:dyDescent="0.25">
      <c r="B174" t="s">
        <v>51</v>
      </c>
      <c r="P174">
        <f t="shared" si="4"/>
        <v>0</v>
      </c>
      <c r="Q174">
        <f t="shared" si="5"/>
        <v>0</v>
      </c>
    </row>
    <row r="175" spans="2:17" x14ac:dyDescent="0.25">
      <c r="B175">
        <v>2467</v>
      </c>
      <c r="C175" t="s">
        <v>105</v>
      </c>
      <c r="D175" t="s">
        <v>45</v>
      </c>
      <c r="E175">
        <v>2327</v>
      </c>
      <c r="F175">
        <v>1</v>
      </c>
      <c r="G175" s="1">
        <v>1100</v>
      </c>
      <c r="H175" t="s">
        <v>49</v>
      </c>
      <c r="I175" s="1">
        <v>1100000</v>
      </c>
      <c r="J175" s="2">
        <v>0.45075231481481487</v>
      </c>
      <c r="K175">
        <v>739049</v>
      </c>
      <c r="L175">
        <v>192</v>
      </c>
      <c r="M175" t="s">
        <v>50</v>
      </c>
      <c r="N175">
        <v>9</v>
      </c>
      <c r="P175">
        <f t="shared" si="4"/>
        <v>0</v>
      </c>
      <c r="Q175">
        <f t="shared" si="5"/>
        <v>135</v>
      </c>
    </row>
    <row r="176" spans="2:17" x14ac:dyDescent="0.25">
      <c r="B176">
        <v>2468</v>
      </c>
      <c r="C176" t="s">
        <v>105</v>
      </c>
      <c r="D176" t="s">
        <v>45</v>
      </c>
      <c r="E176">
        <v>2327</v>
      </c>
      <c r="F176">
        <v>1</v>
      </c>
      <c r="G176" s="1">
        <v>1100</v>
      </c>
      <c r="H176" t="s">
        <v>49</v>
      </c>
      <c r="I176" s="1">
        <v>1100000</v>
      </c>
      <c r="J176" s="2">
        <v>0.45075231481481487</v>
      </c>
      <c r="K176">
        <v>739050</v>
      </c>
      <c r="L176">
        <v>192</v>
      </c>
      <c r="M176" t="s">
        <v>50</v>
      </c>
      <c r="N176">
        <v>9</v>
      </c>
      <c r="P176">
        <f t="shared" si="4"/>
        <v>0</v>
      </c>
      <c r="Q176">
        <f t="shared" si="5"/>
        <v>135</v>
      </c>
    </row>
    <row r="177" spans="2:17" x14ac:dyDescent="0.25">
      <c r="B177">
        <v>2469</v>
      </c>
      <c r="C177" t="s">
        <v>105</v>
      </c>
      <c r="D177" t="s">
        <v>45</v>
      </c>
      <c r="E177">
        <v>2327</v>
      </c>
      <c r="F177">
        <v>1</v>
      </c>
      <c r="G177" s="1">
        <v>1100</v>
      </c>
      <c r="H177" t="s">
        <v>49</v>
      </c>
      <c r="I177" s="1">
        <v>1100000</v>
      </c>
      <c r="J177" s="2">
        <v>0.45075231481481487</v>
      </c>
      <c r="K177">
        <v>739051</v>
      </c>
      <c r="L177">
        <v>192</v>
      </c>
      <c r="M177" t="s">
        <v>50</v>
      </c>
      <c r="N177">
        <v>9</v>
      </c>
      <c r="P177">
        <f t="shared" si="4"/>
        <v>0</v>
      </c>
      <c r="Q177">
        <f t="shared" si="5"/>
        <v>135</v>
      </c>
    </row>
    <row r="178" spans="2:17" x14ac:dyDescent="0.25">
      <c r="B178">
        <v>2740</v>
      </c>
      <c r="C178" t="s">
        <v>106</v>
      </c>
      <c r="D178" t="s">
        <v>45</v>
      </c>
      <c r="E178">
        <v>2834</v>
      </c>
      <c r="F178">
        <v>1</v>
      </c>
      <c r="G178">
        <v>9.75</v>
      </c>
      <c r="H178" t="s">
        <v>46</v>
      </c>
      <c r="I178" s="1">
        <v>9750</v>
      </c>
      <c r="J178" s="2">
        <v>0.46740740740740744</v>
      </c>
      <c r="K178">
        <v>837907</v>
      </c>
      <c r="L178">
        <v>123</v>
      </c>
      <c r="M178" t="s">
        <v>47</v>
      </c>
      <c r="N178">
        <v>9</v>
      </c>
      <c r="P178">
        <f t="shared" si="4"/>
        <v>100</v>
      </c>
      <c r="Q178">
        <f t="shared" si="5"/>
        <v>0</v>
      </c>
    </row>
    <row r="179" spans="2:17" x14ac:dyDescent="0.25">
      <c r="B179">
        <v>1253</v>
      </c>
      <c r="C179" t="s">
        <v>107</v>
      </c>
      <c r="D179" t="s">
        <v>45</v>
      </c>
      <c r="E179">
        <v>26095</v>
      </c>
      <c r="F179">
        <v>1</v>
      </c>
      <c r="G179">
        <v>103.15</v>
      </c>
      <c r="H179" t="s">
        <v>49</v>
      </c>
      <c r="I179" s="1">
        <v>103150</v>
      </c>
      <c r="J179" s="2">
        <v>0.40886574074074072</v>
      </c>
      <c r="K179">
        <v>214090</v>
      </c>
      <c r="L179">
        <v>123</v>
      </c>
      <c r="M179" t="s">
        <v>47</v>
      </c>
      <c r="N179">
        <v>9</v>
      </c>
      <c r="P179">
        <f t="shared" si="4"/>
        <v>58</v>
      </c>
      <c r="Q179">
        <f t="shared" si="5"/>
        <v>263</v>
      </c>
    </row>
    <row r="180" spans="2:17" x14ac:dyDescent="0.25">
      <c r="B180" t="s">
        <v>51</v>
      </c>
      <c r="P180">
        <f t="shared" si="4"/>
        <v>0</v>
      </c>
      <c r="Q180">
        <f t="shared" si="5"/>
        <v>0</v>
      </c>
    </row>
    <row r="181" spans="2:17" x14ac:dyDescent="0.25">
      <c r="B181">
        <v>1503</v>
      </c>
      <c r="C181" t="s">
        <v>108</v>
      </c>
      <c r="D181" t="s">
        <v>45</v>
      </c>
      <c r="E181">
        <v>2327</v>
      </c>
      <c r="F181">
        <v>1</v>
      </c>
      <c r="G181" s="1">
        <v>1145</v>
      </c>
      <c r="H181" t="s">
        <v>49</v>
      </c>
      <c r="I181" s="1">
        <v>1145000</v>
      </c>
      <c r="J181" s="2">
        <v>0.41366898148148151</v>
      </c>
      <c r="K181">
        <v>486054</v>
      </c>
      <c r="L181">
        <v>192</v>
      </c>
      <c r="M181" t="s">
        <v>50</v>
      </c>
      <c r="N181">
        <v>9</v>
      </c>
      <c r="P181">
        <f t="shared" si="4"/>
        <v>0</v>
      </c>
      <c r="Q181">
        <f t="shared" si="5"/>
        <v>135</v>
      </c>
    </row>
    <row r="182" spans="2:17" x14ac:dyDescent="0.25">
      <c r="B182">
        <v>1504</v>
      </c>
      <c r="C182" t="s">
        <v>108</v>
      </c>
      <c r="D182" t="s">
        <v>45</v>
      </c>
      <c r="E182">
        <v>2327</v>
      </c>
      <c r="F182">
        <v>3</v>
      </c>
      <c r="G182" s="1">
        <v>1145</v>
      </c>
      <c r="H182" t="s">
        <v>49</v>
      </c>
      <c r="I182" s="1">
        <v>3435000</v>
      </c>
      <c r="J182" s="2">
        <v>0.41366898148148151</v>
      </c>
      <c r="K182">
        <v>486055</v>
      </c>
      <c r="L182">
        <v>192</v>
      </c>
      <c r="M182" t="s">
        <v>50</v>
      </c>
      <c r="N182">
        <v>9</v>
      </c>
      <c r="P182">
        <f t="shared" si="4"/>
        <v>0</v>
      </c>
      <c r="Q182">
        <f t="shared" si="5"/>
        <v>135</v>
      </c>
    </row>
    <row r="183" spans="2:17" x14ac:dyDescent="0.25">
      <c r="B183">
        <v>1507</v>
      </c>
      <c r="C183" t="s">
        <v>108</v>
      </c>
      <c r="D183" t="s">
        <v>45</v>
      </c>
      <c r="E183">
        <v>2327</v>
      </c>
      <c r="F183">
        <v>1</v>
      </c>
      <c r="G183" s="1">
        <v>1145</v>
      </c>
      <c r="H183" t="s">
        <v>49</v>
      </c>
      <c r="I183" s="1">
        <v>1145000</v>
      </c>
      <c r="J183" s="2">
        <v>0.41372685185185182</v>
      </c>
      <c r="K183">
        <v>486451</v>
      </c>
      <c r="L183">
        <v>192</v>
      </c>
      <c r="M183" t="s">
        <v>50</v>
      </c>
      <c r="N183">
        <v>9</v>
      </c>
      <c r="P183">
        <f t="shared" si="4"/>
        <v>0</v>
      </c>
      <c r="Q183">
        <f t="shared" si="5"/>
        <v>135</v>
      </c>
    </row>
    <row r="184" spans="2:17" x14ac:dyDescent="0.25">
      <c r="B184">
        <v>1513</v>
      </c>
      <c r="C184" t="s">
        <v>109</v>
      </c>
      <c r="D184" t="s">
        <v>45</v>
      </c>
      <c r="E184">
        <v>2327</v>
      </c>
      <c r="F184">
        <v>2</v>
      </c>
      <c r="G184" s="1">
        <v>1145</v>
      </c>
      <c r="H184" t="s">
        <v>49</v>
      </c>
      <c r="I184" s="1">
        <v>2290000</v>
      </c>
      <c r="J184" s="2">
        <v>0.41418981481481482</v>
      </c>
      <c r="K184">
        <v>490307</v>
      </c>
      <c r="L184">
        <v>192</v>
      </c>
      <c r="M184" t="s">
        <v>50</v>
      </c>
      <c r="N184">
        <v>9</v>
      </c>
      <c r="P184">
        <f t="shared" si="4"/>
        <v>0</v>
      </c>
      <c r="Q184">
        <f t="shared" si="5"/>
        <v>135</v>
      </c>
    </row>
    <row r="185" spans="2:17" x14ac:dyDescent="0.25">
      <c r="B185">
        <v>1514</v>
      </c>
      <c r="C185" t="s">
        <v>109</v>
      </c>
      <c r="D185" t="s">
        <v>45</v>
      </c>
      <c r="E185">
        <v>2327</v>
      </c>
      <c r="F185">
        <v>1</v>
      </c>
      <c r="G185" s="1">
        <v>1145</v>
      </c>
      <c r="H185" t="s">
        <v>49</v>
      </c>
      <c r="I185" s="1">
        <v>1145000</v>
      </c>
      <c r="J185" s="2">
        <v>0.41418981481481482</v>
      </c>
      <c r="K185">
        <v>490308</v>
      </c>
      <c r="L185">
        <v>192</v>
      </c>
      <c r="M185" t="s">
        <v>50</v>
      </c>
      <c r="N185">
        <v>9</v>
      </c>
      <c r="P185">
        <f t="shared" si="4"/>
        <v>0</v>
      </c>
      <c r="Q185">
        <f t="shared" si="5"/>
        <v>135</v>
      </c>
    </row>
    <row r="186" spans="2:17" x14ac:dyDescent="0.25">
      <c r="B186" t="s">
        <v>51</v>
      </c>
      <c r="P186">
        <f t="shared" si="4"/>
        <v>0</v>
      </c>
      <c r="Q186">
        <f t="shared" si="5"/>
        <v>0</v>
      </c>
    </row>
    <row r="187" spans="2:17" x14ac:dyDescent="0.25">
      <c r="B187">
        <v>1515</v>
      </c>
      <c r="C187" t="s">
        <v>109</v>
      </c>
      <c r="D187" t="s">
        <v>45</v>
      </c>
      <c r="E187">
        <v>2327</v>
      </c>
      <c r="F187">
        <v>2</v>
      </c>
      <c r="G187" s="1">
        <v>1145</v>
      </c>
      <c r="H187" t="s">
        <v>49</v>
      </c>
      <c r="I187" s="1">
        <v>2290000</v>
      </c>
      <c r="J187" s="2">
        <v>0.41418981481481482</v>
      </c>
      <c r="K187">
        <v>490309</v>
      </c>
      <c r="L187">
        <v>192</v>
      </c>
      <c r="M187" t="s">
        <v>50</v>
      </c>
      <c r="N187">
        <v>9</v>
      </c>
      <c r="P187">
        <f t="shared" si="4"/>
        <v>0</v>
      </c>
      <c r="Q187">
        <f t="shared" si="5"/>
        <v>135</v>
      </c>
    </row>
    <row r="188" spans="2:17" x14ac:dyDescent="0.25">
      <c r="B188">
        <v>1589</v>
      </c>
      <c r="C188" t="s">
        <v>110</v>
      </c>
      <c r="D188" t="s">
        <v>45</v>
      </c>
      <c r="E188">
        <v>2327</v>
      </c>
      <c r="F188">
        <v>1</v>
      </c>
      <c r="G188" s="1">
        <v>1135</v>
      </c>
      <c r="H188" t="s">
        <v>49</v>
      </c>
      <c r="I188" s="1">
        <v>1135000</v>
      </c>
      <c r="J188" s="2">
        <v>0.41797453703703707</v>
      </c>
      <c r="K188">
        <v>517577</v>
      </c>
      <c r="L188">
        <v>192</v>
      </c>
      <c r="M188" t="s">
        <v>50</v>
      </c>
      <c r="N188">
        <v>9</v>
      </c>
      <c r="P188">
        <f t="shared" si="4"/>
        <v>0</v>
      </c>
      <c r="Q188">
        <f t="shared" si="5"/>
        <v>135</v>
      </c>
    </row>
    <row r="189" spans="2:17" x14ac:dyDescent="0.25">
      <c r="B189">
        <v>1590</v>
      </c>
      <c r="C189" t="s">
        <v>110</v>
      </c>
      <c r="D189" t="s">
        <v>45</v>
      </c>
      <c r="E189">
        <v>2327</v>
      </c>
      <c r="F189">
        <v>2</v>
      </c>
      <c r="G189" s="1">
        <v>1135</v>
      </c>
      <c r="H189" t="s">
        <v>49</v>
      </c>
      <c r="I189" s="1">
        <v>2270000</v>
      </c>
      <c r="J189" s="2">
        <v>0.41797453703703707</v>
      </c>
      <c r="K189">
        <v>517578</v>
      </c>
      <c r="L189">
        <v>192</v>
      </c>
      <c r="M189" t="s">
        <v>50</v>
      </c>
      <c r="N189">
        <v>9</v>
      </c>
      <c r="P189">
        <f t="shared" si="4"/>
        <v>0</v>
      </c>
      <c r="Q189">
        <f t="shared" si="5"/>
        <v>135</v>
      </c>
    </row>
    <row r="190" spans="2:17" x14ac:dyDescent="0.25">
      <c r="B190">
        <v>2507</v>
      </c>
      <c r="C190" t="s">
        <v>111</v>
      </c>
      <c r="D190" t="s">
        <v>45</v>
      </c>
      <c r="E190">
        <v>2327</v>
      </c>
      <c r="F190">
        <v>3</v>
      </c>
      <c r="G190" s="1">
        <v>1110</v>
      </c>
      <c r="H190" t="s">
        <v>49</v>
      </c>
      <c r="I190" s="1">
        <v>3330000</v>
      </c>
      <c r="J190" s="2">
        <v>0.4526736111111111</v>
      </c>
      <c r="K190">
        <v>754711</v>
      </c>
      <c r="L190">
        <v>192</v>
      </c>
      <c r="M190" t="s">
        <v>50</v>
      </c>
      <c r="N190">
        <v>9</v>
      </c>
      <c r="P190">
        <f t="shared" si="4"/>
        <v>0</v>
      </c>
      <c r="Q190">
        <f t="shared" si="5"/>
        <v>135</v>
      </c>
    </row>
    <row r="191" spans="2:17" x14ac:dyDescent="0.25">
      <c r="B191">
        <v>2508</v>
      </c>
      <c r="C191" t="s">
        <v>111</v>
      </c>
      <c r="D191" t="s">
        <v>45</v>
      </c>
      <c r="E191">
        <v>2327</v>
      </c>
      <c r="F191">
        <v>1</v>
      </c>
      <c r="G191" s="1">
        <v>1110</v>
      </c>
      <c r="H191" t="s">
        <v>49</v>
      </c>
      <c r="I191" s="1">
        <v>1110000</v>
      </c>
      <c r="J191" s="2">
        <v>0.4526736111111111</v>
      </c>
      <c r="K191">
        <v>754712</v>
      </c>
      <c r="L191">
        <v>192</v>
      </c>
      <c r="M191" t="s">
        <v>50</v>
      </c>
      <c r="N191">
        <v>9</v>
      </c>
      <c r="P191">
        <f t="shared" si="4"/>
        <v>0</v>
      </c>
      <c r="Q191">
        <f t="shared" si="5"/>
        <v>135</v>
      </c>
    </row>
    <row r="192" spans="2:17" x14ac:dyDescent="0.25">
      <c r="B192" t="s">
        <v>53</v>
      </c>
      <c r="P192">
        <f t="shared" si="4"/>
        <v>0</v>
      </c>
      <c r="Q192">
        <f t="shared" si="5"/>
        <v>0</v>
      </c>
    </row>
    <row r="193" spans="1:20" x14ac:dyDescent="0.25">
      <c r="A193" t="s">
        <v>54</v>
      </c>
      <c r="P193">
        <f t="shared" si="4"/>
        <v>0</v>
      </c>
      <c r="Q193">
        <f t="shared" si="5"/>
        <v>0</v>
      </c>
    </row>
    <row r="194" spans="1:20" x14ac:dyDescent="0.25"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6</v>
      </c>
      <c r="H194" t="s">
        <v>2</v>
      </c>
      <c r="I194">
        <v>5</v>
      </c>
      <c r="P194">
        <f t="shared" si="4"/>
        <v>0</v>
      </c>
      <c r="Q194">
        <f t="shared" si="5"/>
        <v>0</v>
      </c>
    </row>
    <row r="195" spans="1:20" x14ac:dyDescent="0.25">
      <c r="B195" t="s">
        <v>7</v>
      </c>
      <c r="C195" t="s">
        <v>2</v>
      </c>
      <c r="D195">
        <v>20180612</v>
      </c>
      <c r="E195" t="s">
        <v>8</v>
      </c>
      <c r="F195" t="s">
        <v>9</v>
      </c>
      <c r="G195" t="s">
        <v>10</v>
      </c>
      <c r="H195" t="s">
        <v>11</v>
      </c>
      <c r="I195" t="s">
        <v>12</v>
      </c>
      <c r="J195" t="s">
        <v>13</v>
      </c>
      <c r="K195" t="s">
        <v>14</v>
      </c>
      <c r="L195" t="s">
        <v>15</v>
      </c>
      <c r="M195" t="s">
        <v>16</v>
      </c>
      <c r="N195" t="s">
        <v>17</v>
      </c>
      <c r="O195" t="s">
        <v>18</v>
      </c>
      <c r="P195">
        <f t="shared" si="4"/>
        <v>0</v>
      </c>
      <c r="Q195">
        <f t="shared" si="5"/>
        <v>0</v>
      </c>
      <c r="R195" t="s">
        <v>19</v>
      </c>
      <c r="S195" t="s">
        <v>20</v>
      </c>
    </row>
    <row r="196" spans="1:20" x14ac:dyDescent="0.25">
      <c r="P196">
        <f t="shared" si="4"/>
        <v>0</v>
      </c>
      <c r="Q196">
        <f t="shared" si="5"/>
        <v>0</v>
      </c>
    </row>
    <row r="197" spans="1:20" x14ac:dyDescent="0.25">
      <c r="B197" t="s">
        <v>21</v>
      </c>
      <c r="C197" t="s">
        <v>22</v>
      </c>
      <c r="D197" t="s">
        <v>23</v>
      </c>
      <c r="E197" t="s">
        <v>24</v>
      </c>
      <c r="F197" t="s">
        <v>25</v>
      </c>
      <c r="G197" t="s">
        <v>26</v>
      </c>
      <c r="H197" t="s">
        <v>27</v>
      </c>
      <c r="I197" t="s">
        <v>28</v>
      </c>
      <c r="J197" t="s">
        <v>29</v>
      </c>
      <c r="K197" t="s">
        <v>30</v>
      </c>
      <c r="L197" t="s">
        <v>31</v>
      </c>
      <c r="M197" t="s">
        <v>32</v>
      </c>
      <c r="N197" t="s">
        <v>33</v>
      </c>
      <c r="O197" t="s">
        <v>34</v>
      </c>
      <c r="P197">
        <f t="shared" si="4"/>
        <v>0</v>
      </c>
      <c r="Q197">
        <f t="shared" si="5"/>
        <v>0</v>
      </c>
      <c r="R197" t="s">
        <v>35</v>
      </c>
      <c r="S197" t="s">
        <v>36</v>
      </c>
      <c r="T197" t="s">
        <v>37</v>
      </c>
    </row>
    <row r="198" spans="1:20" x14ac:dyDescent="0.25">
      <c r="B198" t="s">
        <v>38</v>
      </c>
      <c r="C198" t="s">
        <v>39</v>
      </c>
      <c r="D198" t="s">
        <v>38</v>
      </c>
      <c r="E198" t="s">
        <v>38</v>
      </c>
      <c r="F198" t="s">
        <v>40</v>
      </c>
      <c r="G198" t="s">
        <v>38</v>
      </c>
      <c r="H198" t="s">
        <v>41</v>
      </c>
      <c r="I198" t="s">
        <v>42</v>
      </c>
      <c r="J198" t="s">
        <v>39</v>
      </c>
      <c r="K198" t="s">
        <v>38</v>
      </c>
      <c r="L198" t="s">
        <v>38</v>
      </c>
      <c r="M198" t="s">
        <v>43</v>
      </c>
      <c r="N198" t="s">
        <v>43</v>
      </c>
      <c r="O198" t="s">
        <v>44</v>
      </c>
      <c r="P198">
        <f t="shared" si="4"/>
        <v>0</v>
      </c>
      <c r="Q198">
        <f t="shared" si="5"/>
        <v>0</v>
      </c>
    </row>
    <row r="199" spans="1:20" x14ac:dyDescent="0.25">
      <c r="B199">
        <v>2509</v>
      </c>
      <c r="C199" t="s">
        <v>111</v>
      </c>
      <c r="D199" t="s">
        <v>45</v>
      </c>
      <c r="E199">
        <v>2327</v>
      </c>
      <c r="F199">
        <v>1</v>
      </c>
      <c r="G199" s="1">
        <v>1110</v>
      </c>
      <c r="H199" t="s">
        <v>49</v>
      </c>
      <c r="I199" s="1">
        <v>1110000</v>
      </c>
      <c r="J199" s="2">
        <v>0.4526736111111111</v>
      </c>
      <c r="K199">
        <v>754713</v>
      </c>
      <c r="L199">
        <v>192</v>
      </c>
      <c r="M199" t="s">
        <v>50</v>
      </c>
      <c r="N199">
        <v>9</v>
      </c>
      <c r="P199">
        <f t="shared" si="4"/>
        <v>0</v>
      </c>
      <c r="Q199">
        <f t="shared" si="5"/>
        <v>135</v>
      </c>
    </row>
    <row r="200" spans="1:20" x14ac:dyDescent="0.25">
      <c r="B200">
        <v>2844</v>
      </c>
      <c r="C200" t="s">
        <v>112</v>
      </c>
      <c r="D200" t="s">
        <v>45</v>
      </c>
      <c r="E200">
        <v>2834</v>
      </c>
      <c r="F200">
        <v>1</v>
      </c>
      <c r="G200">
        <v>9.75</v>
      </c>
      <c r="H200" t="s">
        <v>46</v>
      </c>
      <c r="I200" s="1">
        <v>9750</v>
      </c>
      <c r="J200" s="2">
        <v>0.47292824074074075</v>
      </c>
      <c r="K200">
        <v>863556</v>
      </c>
      <c r="L200">
        <v>123</v>
      </c>
      <c r="M200" t="s">
        <v>47</v>
      </c>
      <c r="N200">
        <v>9</v>
      </c>
      <c r="P200">
        <f t="shared" ref="P200:P263" si="6">SUMIFS($F$7:$F$843,$E$7:$E$843,E200,$H$7:$H$843,"S")</f>
        <v>100</v>
      </c>
      <c r="Q200">
        <f t="shared" ref="Q200:Q263" si="7">SUMIFS($F$7:$F$843,$E$7:$E$843,E200,$H$7:$H$843,"b")</f>
        <v>0</v>
      </c>
    </row>
    <row r="201" spans="1:20" x14ac:dyDescent="0.25">
      <c r="B201">
        <v>3018</v>
      </c>
      <c r="C201" t="s">
        <v>113</v>
      </c>
      <c r="D201" t="s">
        <v>45</v>
      </c>
      <c r="E201">
        <v>2834</v>
      </c>
      <c r="F201">
        <v>1</v>
      </c>
      <c r="G201">
        <v>9.76</v>
      </c>
      <c r="H201" t="s">
        <v>46</v>
      </c>
      <c r="I201" s="1">
        <v>9760</v>
      </c>
      <c r="J201" s="2">
        <v>0.50031250000000005</v>
      </c>
      <c r="K201">
        <v>986350</v>
      </c>
      <c r="L201">
        <v>123</v>
      </c>
      <c r="M201" t="s">
        <v>47</v>
      </c>
      <c r="N201">
        <v>9</v>
      </c>
      <c r="P201">
        <f t="shared" si="6"/>
        <v>100</v>
      </c>
      <c r="Q201">
        <f t="shared" si="7"/>
        <v>0</v>
      </c>
    </row>
    <row r="202" spans="1:20" x14ac:dyDescent="0.25">
      <c r="B202">
        <v>1849</v>
      </c>
      <c r="C202" t="s">
        <v>114</v>
      </c>
      <c r="D202" t="s">
        <v>45</v>
      </c>
      <c r="E202">
        <v>26106</v>
      </c>
      <c r="F202">
        <v>10</v>
      </c>
      <c r="G202">
        <v>100.1</v>
      </c>
      <c r="H202" t="s">
        <v>49</v>
      </c>
      <c r="I202" s="1">
        <v>1001000</v>
      </c>
      <c r="J202" s="2">
        <v>0.42427083333333332</v>
      </c>
      <c r="K202">
        <v>267173</v>
      </c>
      <c r="L202">
        <v>123</v>
      </c>
      <c r="M202" t="s">
        <v>47</v>
      </c>
      <c r="N202">
        <v>9</v>
      </c>
      <c r="P202">
        <f t="shared" si="6"/>
        <v>0</v>
      </c>
      <c r="Q202">
        <f t="shared" si="7"/>
        <v>10</v>
      </c>
    </row>
    <row r="203" spans="1:20" x14ac:dyDescent="0.25">
      <c r="B203">
        <v>1616</v>
      </c>
      <c r="C203" t="s">
        <v>115</v>
      </c>
      <c r="D203" t="s">
        <v>45</v>
      </c>
      <c r="E203">
        <v>2327</v>
      </c>
      <c r="F203">
        <v>1</v>
      </c>
      <c r="G203" s="1">
        <v>1130</v>
      </c>
      <c r="H203" t="s">
        <v>49</v>
      </c>
      <c r="I203" s="1">
        <v>1130000</v>
      </c>
      <c r="J203" s="2">
        <v>0.4191319444444444</v>
      </c>
      <c r="K203">
        <v>526215</v>
      </c>
      <c r="L203">
        <v>192</v>
      </c>
      <c r="M203" t="s">
        <v>50</v>
      </c>
      <c r="N203">
        <v>9</v>
      </c>
      <c r="P203">
        <f t="shared" si="6"/>
        <v>0</v>
      </c>
      <c r="Q203">
        <f t="shared" si="7"/>
        <v>135</v>
      </c>
    </row>
    <row r="204" spans="1:20" x14ac:dyDescent="0.25">
      <c r="B204" t="s">
        <v>51</v>
      </c>
      <c r="P204">
        <f t="shared" si="6"/>
        <v>0</v>
      </c>
      <c r="Q204">
        <f t="shared" si="7"/>
        <v>0</v>
      </c>
    </row>
    <row r="205" spans="1:20" x14ac:dyDescent="0.25">
      <c r="B205">
        <v>1617</v>
      </c>
      <c r="C205" t="s">
        <v>115</v>
      </c>
      <c r="D205" t="s">
        <v>45</v>
      </c>
      <c r="E205">
        <v>2327</v>
      </c>
      <c r="F205">
        <v>1</v>
      </c>
      <c r="G205" s="1">
        <v>1130</v>
      </c>
      <c r="H205" t="s">
        <v>49</v>
      </c>
      <c r="I205" s="1">
        <v>1130000</v>
      </c>
      <c r="J205" s="2">
        <v>0.4191319444444444</v>
      </c>
      <c r="K205">
        <v>526216</v>
      </c>
      <c r="L205">
        <v>192</v>
      </c>
      <c r="M205" t="s">
        <v>50</v>
      </c>
      <c r="N205">
        <v>9</v>
      </c>
      <c r="P205">
        <f t="shared" si="6"/>
        <v>0</v>
      </c>
      <c r="Q205">
        <f t="shared" si="7"/>
        <v>135</v>
      </c>
    </row>
    <row r="206" spans="1:20" x14ac:dyDescent="0.25">
      <c r="B206">
        <v>659</v>
      </c>
      <c r="C206" t="s">
        <v>116</v>
      </c>
      <c r="D206" t="s">
        <v>45</v>
      </c>
      <c r="E206">
        <v>2834</v>
      </c>
      <c r="F206">
        <v>1</v>
      </c>
      <c r="G206">
        <v>9.8000000000000007</v>
      </c>
      <c r="H206" t="s">
        <v>46</v>
      </c>
      <c r="I206" s="1">
        <v>9800</v>
      </c>
      <c r="J206" s="2">
        <v>0.39245370370370369</v>
      </c>
      <c r="K206">
        <v>297775</v>
      </c>
      <c r="L206">
        <v>123</v>
      </c>
      <c r="M206" t="s">
        <v>47</v>
      </c>
      <c r="N206">
        <v>9</v>
      </c>
      <c r="P206">
        <f t="shared" si="6"/>
        <v>100</v>
      </c>
      <c r="Q206">
        <f t="shared" si="7"/>
        <v>0</v>
      </c>
    </row>
    <row r="207" spans="1:20" x14ac:dyDescent="0.25">
      <c r="B207">
        <v>1551</v>
      </c>
      <c r="C207" t="s">
        <v>117</v>
      </c>
      <c r="D207" t="s">
        <v>45</v>
      </c>
      <c r="E207">
        <v>2327</v>
      </c>
      <c r="F207">
        <v>1</v>
      </c>
      <c r="G207" s="1">
        <v>1145</v>
      </c>
      <c r="H207" t="s">
        <v>49</v>
      </c>
      <c r="I207" s="1">
        <v>1145000</v>
      </c>
      <c r="J207" s="2">
        <v>0.41687500000000005</v>
      </c>
      <c r="K207">
        <v>509275</v>
      </c>
      <c r="L207">
        <v>192</v>
      </c>
      <c r="M207" t="s">
        <v>50</v>
      </c>
      <c r="N207">
        <v>9</v>
      </c>
      <c r="P207">
        <f t="shared" si="6"/>
        <v>0</v>
      </c>
      <c r="Q207">
        <f t="shared" si="7"/>
        <v>135</v>
      </c>
    </row>
    <row r="208" spans="1:20" x14ac:dyDescent="0.25">
      <c r="B208">
        <v>1552</v>
      </c>
      <c r="C208" t="s">
        <v>117</v>
      </c>
      <c r="D208" t="s">
        <v>45</v>
      </c>
      <c r="E208">
        <v>2327</v>
      </c>
      <c r="F208">
        <v>1</v>
      </c>
      <c r="G208" s="1">
        <v>1145</v>
      </c>
      <c r="H208" t="s">
        <v>49</v>
      </c>
      <c r="I208" s="1">
        <v>1145000</v>
      </c>
      <c r="J208" s="2">
        <v>0.41687500000000005</v>
      </c>
      <c r="K208">
        <v>509276</v>
      </c>
      <c r="L208">
        <v>192</v>
      </c>
      <c r="M208" t="s">
        <v>50</v>
      </c>
      <c r="N208">
        <v>9</v>
      </c>
      <c r="P208">
        <f t="shared" si="6"/>
        <v>0</v>
      </c>
      <c r="Q208">
        <f t="shared" si="7"/>
        <v>135</v>
      </c>
    </row>
    <row r="209" spans="2:17" x14ac:dyDescent="0.25">
      <c r="B209">
        <v>1553</v>
      </c>
      <c r="C209" t="s">
        <v>117</v>
      </c>
      <c r="D209" t="s">
        <v>45</v>
      </c>
      <c r="E209">
        <v>2327</v>
      </c>
      <c r="F209">
        <v>1</v>
      </c>
      <c r="G209" s="1">
        <v>1145</v>
      </c>
      <c r="H209" t="s">
        <v>49</v>
      </c>
      <c r="I209" s="1">
        <v>1145000</v>
      </c>
      <c r="J209" s="2">
        <v>0.41687500000000005</v>
      </c>
      <c r="K209">
        <v>509277</v>
      </c>
      <c r="L209">
        <v>192</v>
      </c>
      <c r="M209" t="s">
        <v>50</v>
      </c>
      <c r="N209">
        <v>9</v>
      </c>
      <c r="P209">
        <f t="shared" si="6"/>
        <v>0</v>
      </c>
      <c r="Q209">
        <f t="shared" si="7"/>
        <v>135</v>
      </c>
    </row>
    <row r="210" spans="2:17" x14ac:dyDescent="0.25">
      <c r="B210" t="s">
        <v>51</v>
      </c>
      <c r="P210">
        <f t="shared" si="6"/>
        <v>0</v>
      </c>
      <c r="Q210">
        <f t="shared" si="7"/>
        <v>0</v>
      </c>
    </row>
    <row r="211" spans="2:17" x14ac:dyDescent="0.25">
      <c r="B211">
        <v>1863</v>
      </c>
      <c r="C211" t="s">
        <v>118</v>
      </c>
      <c r="D211" t="s">
        <v>45</v>
      </c>
      <c r="E211">
        <v>4803</v>
      </c>
      <c r="F211">
        <v>1</v>
      </c>
      <c r="G211">
        <v>174.5</v>
      </c>
      <c r="H211" t="s">
        <v>46</v>
      </c>
      <c r="I211" s="1">
        <v>174500</v>
      </c>
      <c r="J211" s="2">
        <v>0.42523148148148149</v>
      </c>
      <c r="K211">
        <v>271462</v>
      </c>
      <c r="L211">
        <v>191</v>
      </c>
      <c r="M211" t="s">
        <v>55</v>
      </c>
      <c r="N211">
        <v>9</v>
      </c>
      <c r="P211">
        <f t="shared" si="6"/>
        <v>4</v>
      </c>
      <c r="Q211">
        <f t="shared" si="7"/>
        <v>0</v>
      </c>
    </row>
    <row r="212" spans="2:17" x14ac:dyDescent="0.25">
      <c r="B212">
        <v>2546</v>
      </c>
      <c r="C212" t="s">
        <v>119</v>
      </c>
      <c r="D212" t="s">
        <v>45</v>
      </c>
      <c r="E212">
        <v>30334</v>
      </c>
      <c r="F212">
        <v>1</v>
      </c>
      <c r="G212">
        <v>135</v>
      </c>
      <c r="H212" t="s">
        <v>46</v>
      </c>
      <c r="I212" s="1">
        <v>135000</v>
      </c>
      <c r="J212" s="2">
        <v>0.45568287037037036</v>
      </c>
      <c r="K212">
        <v>361866</v>
      </c>
      <c r="L212">
        <v>123</v>
      </c>
      <c r="M212" t="s">
        <v>47</v>
      </c>
      <c r="N212">
        <v>9</v>
      </c>
      <c r="P212">
        <f t="shared" si="6"/>
        <v>1</v>
      </c>
      <c r="Q212">
        <f t="shared" si="7"/>
        <v>0</v>
      </c>
    </row>
    <row r="213" spans="2:17" x14ac:dyDescent="0.25">
      <c r="B213">
        <v>2342</v>
      </c>
      <c r="C213" t="s">
        <v>120</v>
      </c>
      <c r="D213" t="s">
        <v>45</v>
      </c>
      <c r="E213">
        <v>2834</v>
      </c>
      <c r="F213">
        <v>1</v>
      </c>
      <c r="G213">
        <v>9.75</v>
      </c>
      <c r="H213" t="s">
        <v>46</v>
      </c>
      <c r="I213" s="1">
        <v>9750</v>
      </c>
      <c r="J213" s="2">
        <v>0.44362268518518522</v>
      </c>
      <c r="K213">
        <v>701937</v>
      </c>
      <c r="L213">
        <v>123</v>
      </c>
      <c r="M213" t="s">
        <v>47</v>
      </c>
      <c r="N213">
        <v>9</v>
      </c>
      <c r="P213">
        <f t="shared" si="6"/>
        <v>100</v>
      </c>
      <c r="Q213">
        <f t="shared" si="7"/>
        <v>0</v>
      </c>
    </row>
    <row r="214" spans="2:17" x14ac:dyDescent="0.25">
      <c r="B214">
        <v>2774</v>
      </c>
      <c r="C214" t="s">
        <v>121</v>
      </c>
      <c r="D214" t="s">
        <v>45</v>
      </c>
      <c r="E214">
        <v>2327</v>
      </c>
      <c r="F214">
        <v>1</v>
      </c>
      <c r="G214" s="1">
        <v>1120</v>
      </c>
      <c r="H214" t="s">
        <v>49</v>
      </c>
      <c r="I214" s="1">
        <v>1120000</v>
      </c>
      <c r="J214" s="2">
        <v>0.47075231481481478</v>
      </c>
      <c r="K214">
        <v>852396</v>
      </c>
      <c r="L214">
        <v>192</v>
      </c>
      <c r="M214" t="s">
        <v>50</v>
      </c>
      <c r="N214">
        <v>9</v>
      </c>
      <c r="P214">
        <f t="shared" si="6"/>
        <v>0</v>
      </c>
      <c r="Q214">
        <f t="shared" si="7"/>
        <v>135</v>
      </c>
    </row>
    <row r="215" spans="2:17" x14ac:dyDescent="0.25">
      <c r="B215">
        <v>2775</v>
      </c>
      <c r="C215" t="s">
        <v>121</v>
      </c>
      <c r="D215" t="s">
        <v>45</v>
      </c>
      <c r="E215">
        <v>2327</v>
      </c>
      <c r="F215">
        <v>1</v>
      </c>
      <c r="G215" s="1">
        <v>1120</v>
      </c>
      <c r="H215" t="s">
        <v>49</v>
      </c>
      <c r="I215" s="1">
        <v>1120000</v>
      </c>
      <c r="J215" s="2">
        <v>0.47081018518518519</v>
      </c>
      <c r="K215">
        <v>852623</v>
      </c>
      <c r="L215">
        <v>192</v>
      </c>
      <c r="M215" t="s">
        <v>50</v>
      </c>
      <c r="N215">
        <v>9</v>
      </c>
      <c r="P215">
        <f t="shared" si="6"/>
        <v>0</v>
      </c>
      <c r="Q215">
        <f t="shared" si="7"/>
        <v>135</v>
      </c>
    </row>
    <row r="216" spans="2:17" x14ac:dyDescent="0.25">
      <c r="B216" t="s">
        <v>51</v>
      </c>
      <c r="P216">
        <f t="shared" si="6"/>
        <v>0</v>
      </c>
      <c r="Q216">
        <f t="shared" si="7"/>
        <v>0</v>
      </c>
    </row>
    <row r="217" spans="2:17" x14ac:dyDescent="0.25">
      <c r="B217">
        <v>2776</v>
      </c>
      <c r="C217" t="s">
        <v>121</v>
      </c>
      <c r="D217" t="s">
        <v>45</v>
      </c>
      <c r="E217">
        <v>2327</v>
      </c>
      <c r="F217">
        <v>1</v>
      </c>
      <c r="G217" s="1">
        <v>1120</v>
      </c>
      <c r="H217" t="s">
        <v>49</v>
      </c>
      <c r="I217" s="1">
        <v>1120000</v>
      </c>
      <c r="J217" s="2">
        <v>0.47081018518518519</v>
      </c>
      <c r="K217">
        <v>852624</v>
      </c>
      <c r="L217">
        <v>192</v>
      </c>
      <c r="M217" t="s">
        <v>50</v>
      </c>
      <c r="N217">
        <v>9</v>
      </c>
      <c r="P217">
        <f t="shared" si="6"/>
        <v>0</v>
      </c>
      <c r="Q217">
        <f t="shared" si="7"/>
        <v>135</v>
      </c>
    </row>
    <row r="218" spans="2:17" x14ac:dyDescent="0.25">
      <c r="B218">
        <v>2842</v>
      </c>
      <c r="C218" t="s">
        <v>121</v>
      </c>
      <c r="D218" t="s">
        <v>45</v>
      </c>
      <c r="E218">
        <v>2327</v>
      </c>
      <c r="F218">
        <v>1</v>
      </c>
      <c r="G218" s="1">
        <v>1120</v>
      </c>
      <c r="H218" t="s">
        <v>49</v>
      </c>
      <c r="I218" s="1">
        <v>1120000</v>
      </c>
      <c r="J218" s="2">
        <v>0.47268518518518521</v>
      </c>
      <c r="K218">
        <v>862713</v>
      </c>
      <c r="L218">
        <v>192</v>
      </c>
      <c r="M218" t="s">
        <v>50</v>
      </c>
      <c r="N218">
        <v>9</v>
      </c>
      <c r="P218">
        <f t="shared" si="6"/>
        <v>0</v>
      </c>
      <c r="Q218">
        <f t="shared" si="7"/>
        <v>135</v>
      </c>
    </row>
    <row r="219" spans="2:17" x14ac:dyDescent="0.25">
      <c r="B219">
        <v>2843</v>
      </c>
      <c r="C219" t="s">
        <v>121</v>
      </c>
      <c r="D219" t="s">
        <v>45</v>
      </c>
      <c r="E219">
        <v>2327</v>
      </c>
      <c r="F219">
        <v>1</v>
      </c>
      <c r="G219" s="1">
        <v>1120</v>
      </c>
      <c r="H219" t="s">
        <v>49</v>
      </c>
      <c r="I219" s="1">
        <v>1120000</v>
      </c>
      <c r="J219" s="2">
        <v>0.47274305555555557</v>
      </c>
      <c r="K219">
        <v>862929</v>
      </c>
      <c r="L219">
        <v>192</v>
      </c>
      <c r="M219" t="s">
        <v>50</v>
      </c>
      <c r="N219">
        <v>9</v>
      </c>
      <c r="P219">
        <f t="shared" si="6"/>
        <v>0</v>
      </c>
      <c r="Q219">
        <f t="shared" si="7"/>
        <v>135</v>
      </c>
    </row>
    <row r="220" spans="2:17" x14ac:dyDescent="0.25">
      <c r="B220">
        <v>3120</v>
      </c>
      <c r="C220" t="s">
        <v>122</v>
      </c>
      <c r="D220" t="s">
        <v>45</v>
      </c>
      <c r="E220">
        <v>2834</v>
      </c>
      <c r="F220">
        <v>1</v>
      </c>
      <c r="G220">
        <v>9.75</v>
      </c>
      <c r="H220" t="s">
        <v>46</v>
      </c>
      <c r="I220" s="1">
        <v>9750</v>
      </c>
      <c r="J220" s="2">
        <v>0.52229166666666671</v>
      </c>
      <c r="K220">
        <v>1071759</v>
      </c>
      <c r="L220">
        <v>123</v>
      </c>
      <c r="M220" t="s">
        <v>47</v>
      </c>
      <c r="N220">
        <v>9</v>
      </c>
      <c r="P220">
        <f t="shared" si="6"/>
        <v>100</v>
      </c>
      <c r="Q220">
        <f t="shared" si="7"/>
        <v>0</v>
      </c>
    </row>
    <row r="221" spans="2:17" x14ac:dyDescent="0.25">
      <c r="B221">
        <v>1182</v>
      </c>
      <c r="C221" t="s">
        <v>123</v>
      </c>
      <c r="D221" t="s">
        <v>45</v>
      </c>
      <c r="E221">
        <v>26095</v>
      </c>
      <c r="F221">
        <v>10</v>
      </c>
      <c r="G221">
        <v>103.15</v>
      </c>
      <c r="H221" t="s">
        <v>49</v>
      </c>
      <c r="I221" s="1">
        <v>1031500</v>
      </c>
      <c r="J221" s="2">
        <v>0.4067824074074074</v>
      </c>
      <c r="K221">
        <v>206346</v>
      </c>
      <c r="L221">
        <v>123</v>
      </c>
      <c r="M221" t="s">
        <v>47</v>
      </c>
      <c r="N221">
        <v>9</v>
      </c>
      <c r="P221">
        <f t="shared" si="6"/>
        <v>58</v>
      </c>
      <c r="Q221">
        <f t="shared" si="7"/>
        <v>263</v>
      </c>
    </row>
    <row r="222" spans="2:17" x14ac:dyDescent="0.25">
      <c r="B222" t="s">
        <v>51</v>
      </c>
      <c r="P222">
        <f t="shared" si="6"/>
        <v>0</v>
      </c>
      <c r="Q222">
        <f t="shared" si="7"/>
        <v>0</v>
      </c>
    </row>
    <row r="223" spans="2:17" x14ac:dyDescent="0.25">
      <c r="B223">
        <v>1580</v>
      </c>
      <c r="C223" t="s">
        <v>124</v>
      </c>
      <c r="D223" t="s">
        <v>45</v>
      </c>
      <c r="E223">
        <v>2327</v>
      </c>
      <c r="F223">
        <v>1</v>
      </c>
      <c r="G223" s="1">
        <v>1135</v>
      </c>
      <c r="H223" t="s">
        <v>49</v>
      </c>
      <c r="I223" s="1">
        <v>1135000</v>
      </c>
      <c r="J223" s="2">
        <v>0.41739583333333335</v>
      </c>
      <c r="K223">
        <v>513328</v>
      </c>
      <c r="L223">
        <v>192</v>
      </c>
      <c r="M223" t="s">
        <v>50</v>
      </c>
      <c r="N223">
        <v>9</v>
      </c>
      <c r="P223">
        <f t="shared" si="6"/>
        <v>0</v>
      </c>
      <c r="Q223">
        <f t="shared" si="7"/>
        <v>135</v>
      </c>
    </row>
    <row r="224" spans="2:17" x14ac:dyDescent="0.25">
      <c r="B224">
        <v>1581</v>
      </c>
      <c r="C224" t="s">
        <v>124</v>
      </c>
      <c r="D224" t="s">
        <v>45</v>
      </c>
      <c r="E224">
        <v>2327</v>
      </c>
      <c r="F224">
        <v>1</v>
      </c>
      <c r="G224" s="1">
        <v>1135</v>
      </c>
      <c r="H224" t="s">
        <v>49</v>
      </c>
      <c r="I224" s="1">
        <v>1135000</v>
      </c>
      <c r="J224" s="2">
        <v>0.41739583333333335</v>
      </c>
      <c r="K224">
        <v>513329</v>
      </c>
      <c r="L224">
        <v>192</v>
      </c>
      <c r="M224" t="s">
        <v>50</v>
      </c>
      <c r="N224">
        <v>9</v>
      </c>
      <c r="P224">
        <f t="shared" si="6"/>
        <v>0</v>
      </c>
      <c r="Q224">
        <f t="shared" si="7"/>
        <v>135</v>
      </c>
    </row>
    <row r="225" spans="2:17" x14ac:dyDescent="0.25">
      <c r="B225">
        <v>1582</v>
      </c>
      <c r="C225" t="s">
        <v>124</v>
      </c>
      <c r="D225" t="s">
        <v>45</v>
      </c>
      <c r="E225">
        <v>2327</v>
      </c>
      <c r="F225">
        <v>1</v>
      </c>
      <c r="G225" s="1">
        <v>1135</v>
      </c>
      <c r="H225" t="s">
        <v>49</v>
      </c>
      <c r="I225" s="1">
        <v>1135000</v>
      </c>
      <c r="J225" s="2">
        <v>0.41739583333333335</v>
      </c>
      <c r="K225">
        <v>513330</v>
      </c>
      <c r="L225">
        <v>192</v>
      </c>
      <c r="M225" t="s">
        <v>50</v>
      </c>
      <c r="N225">
        <v>9</v>
      </c>
      <c r="P225">
        <f t="shared" si="6"/>
        <v>0</v>
      </c>
      <c r="Q225">
        <f t="shared" si="7"/>
        <v>135</v>
      </c>
    </row>
    <row r="226" spans="2:17" x14ac:dyDescent="0.25">
      <c r="B226">
        <v>1648</v>
      </c>
      <c r="C226" t="s">
        <v>125</v>
      </c>
      <c r="D226" t="s">
        <v>45</v>
      </c>
      <c r="E226">
        <v>2834</v>
      </c>
      <c r="F226">
        <v>1</v>
      </c>
      <c r="G226">
        <v>9.7799999999999994</v>
      </c>
      <c r="H226" t="s">
        <v>46</v>
      </c>
      <c r="I226" s="1">
        <v>9780</v>
      </c>
      <c r="J226" s="2">
        <v>0.41983796296296294</v>
      </c>
      <c r="K226">
        <v>531321</v>
      </c>
      <c r="L226">
        <v>123</v>
      </c>
      <c r="M226" t="s">
        <v>47</v>
      </c>
      <c r="N226">
        <v>9</v>
      </c>
      <c r="P226">
        <f t="shared" si="6"/>
        <v>100</v>
      </c>
      <c r="Q226">
        <f t="shared" si="7"/>
        <v>0</v>
      </c>
    </row>
    <row r="227" spans="2:17" x14ac:dyDescent="0.25">
      <c r="B227">
        <v>2175</v>
      </c>
      <c r="C227" t="s">
        <v>126</v>
      </c>
      <c r="D227" t="s">
        <v>45</v>
      </c>
      <c r="E227">
        <v>2834</v>
      </c>
      <c r="F227">
        <v>1</v>
      </c>
      <c r="G227">
        <v>9.75</v>
      </c>
      <c r="H227" t="s">
        <v>46</v>
      </c>
      <c r="I227" s="1">
        <v>9750</v>
      </c>
      <c r="J227" s="2">
        <v>0.43995370370370374</v>
      </c>
      <c r="K227">
        <v>678652</v>
      </c>
      <c r="L227">
        <v>123</v>
      </c>
      <c r="M227" t="s">
        <v>47</v>
      </c>
      <c r="N227">
        <v>9</v>
      </c>
      <c r="P227">
        <f t="shared" si="6"/>
        <v>100</v>
      </c>
      <c r="Q227">
        <f t="shared" si="7"/>
        <v>0</v>
      </c>
    </row>
    <row r="228" spans="2:17" x14ac:dyDescent="0.25">
      <c r="B228" t="s">
        <v>51</v>
      </c>
      <c r="P228">
        <f t="shared" si="6"/>
        <v>0</v>
      </c>
      <c r="Q228">
        <f t="shared" si="7"/>
        <v>0</v>
      </c>
    </row>
    <row r="229" spans="2:17" x14ac:dyDescent="0.25">
      <c r="B229">
        <v>2476</v>
      </c>
      <c r="C229" t="s">
        <v>127</v>
      </c>
      <c r="D229" t="s">
        <v>45</v>
      </c>
      <c r="E229">
        <v>2834</v>
      </c>
      <c r="F229">
        <v>1</v>
      </c>
      <c r="G229">
        <v>9.75</v>
      </c>
      <c r="H229" t="s">
        <v>46</v>
      </c>
      <c r="I229" s="1">
        <v>9750</v>
      </c>
      <c r="J229" s="2">
        <v>0.45094907407407409</v>
      </c>
      <c r="K229">
        <v>740817</v>
      </c>
      <c r="L229">
        <v>123</v>
      </c>
      <c r="M229" t="s">
        <v>47</v>
      </c>
      <c r="N229">
        <v>9</v>
      </c>
      <c r="P229">
        <f t="shared" si="6"/>
        <v>100</v>
      </c>
      <c r="Q229">
        <f t="shared" si="7"/>
        <v>0</v>
      </c>
    </row>
    <row r="230" spans="2:17" x14ac:dyDescent="0.25">
      <c r="B230">
        <v>2535</v>
      </c>
      <c r="C230" t="s">
        <v>128</v>
      </c>
      <c r="D230" t="s">
        <v>45</v>
      </c>
      <c r="E230">
        <v>2834</v>
      </c>
      <c r="F230">
        <v>1</v>
      </c>
      <c r="G230">
        <v>9.75</v>
      </c>
      <c r="H230" t="s">
        <v>46</v>
      </c>
      <c r="I230" s="1">
        <v>9750</v>
      </c>
      <c r="J230" s="2">
        <v>0.45460648148148147</v>
      </c>
      <c r="K230">
        <v>769491</v>
      </c>
      <c r="L230">
        <v>123</v>
      </c>
      <c r="M230" t="s">
        <v>47</v>
      </c>
      <c r="N230">
        <v>9</v>
      </c>
      <c r="P230">
        <f t="shared" si="6"/>
        <v>100</v>
      </c>
      <c r="Q230">
        <f t="shared" si="7"/>
        <v>0</v>
      </c>
    </row>
    <row r="231" spans="2:17" x14ac:dyDescent="0.25">
      <c r="B231">
        <v>1022</v>
      </c>
      <c r="C231" t="s">
        <v>129</v>
      </c>
      <c r="D231" t="s">
        <v>45</v>
      </c>
      <c r="E231">
        <v>2834</v>
      </c>
      <c r="F231">
        <v>1</v>
      </c>
      <c r="G231">
        <v>9.82</v>
      </c>
      <c r="H231" t="s">
        <v>46</v>
      </c>
      <c r="I231" s="1">
        <v>9820</v>
      </c>
      <c r="J231" s="2">
        <v>0.39972222222222226</v>
      </c>
      <c r="K231">
        <v>371529</v>
      </c>
      <c r="L231">
        <v>123</v>
      </c>
      <c r="M231" t="s">
        <v>47</v>
      </c>
      <c r="N231">
        <v>9</v>
      </c>
      <c r="P231">
        <f t="shared" si="6"/>
        <v>100</v>
      </c>
      <c r="Q231">
        <f t="shared" si="7"/>
        <v>0</v>
      </c>
    </row>
    <row r="232" spans="2:17" x14ac:dyDescent="0.25">
      <c r="B232">
        <v>2860</v>
      </c>
      <c r="C232" t="s">
        <v>130</v>
      </c>
      <c r="D232" t="s">
        <v>45</v>
      </c>
      <c r="E232">
        <v>2834</v>
      </c>
      <c r="F232">
        <v>1</v>
      </c>
      <c r="G232">
        <v>9.76</v>
      </c>
      <c r="H232" t="s">
        <v>46</v>
      </c>
      <c r="I232" s="1">
        <v>9760</v>
      </c>
      <c r="J232" s="2">
        <v>0.47472222222222221</v>
      </c>
      <c r="K232">
        <v>872837</v>
      </c>
      <c r="L232">
        <v>123</v>
      </c>
      <c r="M232" t="s">
        <v>47</v>
      </c>
      <c r="N232">
        <v>9</v>
      </c>
      <c r="P232">
        <f t="shared" si="6"/>
        <v>100</v>
      </c>
      <c r="Q232">
        <f t="shared" si="7"/>
        <v>0</v>
      </c>
    </row>
    <row r="233" spans="2:17" x14ac:dyDescent="0.25">
      <c r="B233">
        <v>3325</v>
      </c>
      <c r="C233" t="s">
        <v>131</v>
      </c>
      <c r="D233" t="s">
        <v>45</v>
      </c>
      <c r="E233">
        <v>2834</v>
      </c>
      <c r="F233">
        <v>1</v>
      </c>
      <c r="G233">
        <v>9.76</v>
      </c>
      <c r="H233" t="s">
        <v>46</v>
      </c>
      <c r="I233" s="1">
        <v>9760</v>
      </c>
      <c r="J233" s="2">
        <v>0.54420138888888892</v>
      </c>
      <c r="K233">
        <v>1183570</v>
      </c>
      <c r="L233">
        <v>123</v>
      </c>
      <c r="M233" t="s">
        <v>47</v>
      </c>
      <c r="N233">
        <v>9</v>
      </c>
      <c r="P233">
        <f t="shared" si="6"/>
        <v>100</v>
      </c>
      <c r="Q233">
        <f t="shared" si="7"/>
        <v>0</v>
      </c>
    </row>
    <row r="234" spans="2:17" x14ac:dyDescent="0.25">
      <c r="B234" t="s">
        <v>51</v>
      </c>
      <c r="P234">
        <f t="shared" si="6"/>
        <v>0</v>
      </c>
      <c r="Q234">
        <f t="shared" si="7"/>
        <v>0</v>
      </c>
    </row>
    <row r="235" spans="2:17" x14ac:dyDescent="0.25">
      <c r="B235">
        <v>3349</v>
      </c>
      <c r="C235" t="s">
        <v>132</v>
      </c>
      <c r="D235" t="s">
        <v>45</v>
      </c>
      <c r="E235">
        <v>26095</v>
      </c>
      <c r="F235">
        <v>10</v>
      </c>
      <c r="G235">
        <v>104</v>
      </c>
      <c r="H235" t="s">
        <v>49</v>
      </c>
      <c r="I235" s="1">
        <v>1040000</v>
      </c>
      <c r="J235" s="2">
        <v>0.54701388888888891</v>
      </c>
      <c r="K235">
        <v>515151</v>
      </c>
      <c r="L235">
        <v>123</v>
      </c>
      <c r="M235" t="s">
        <v>47</v>
      </c>
      <c r="N235">
        <v>9</v>
      </c>
      <c r="P235">
        <f t="shared" si="6"/>
        <v>58</v>
      </c>
      <c r="Q235">
        <f t="shared" si="7"/>
        <v>263</v>
      </c>
    </row>
    <row r="236" spans="2:17" x14ac:dyDescent="0.25">
      <c r="B236">
        <v>2502</v>
      </c>
      <c r="C236" t="s">
        <v>133</v>
      </c>
      <c r="D236" t="s">
        <v>45</v>
      </c>
      <c r="E236">
        <v>3008</v>
      </c>
      <c r="F236">
        <v>1</v>
      </c>
      <c r="G236" s="1">
        <v>4460</v>
      </c>
      <c r="H236" t="s">
        <v>49</v>
      </c>
      <c r="I236" s="1">
        <v>4460000</v>
      </c>
      <c r="J236" s="2">
        <v>0.4524305555555555</v>
      </c>
      <c r="K236">
        <v>753056</v>
      </c>
      <c r="L236">
        <v>192</v>
      </c>
      <c r="M236" t="s">
        <v>50</v>
      </c>
      <c r="N236">
        <v>9</v>
      </c>
      <c r="P236">
        <f t="shared" si="6"/>
        <v>0</v>
      </c>
      <c r="Q236">
        <f t="shared" si="7"/>
        <v>5</v>
      </c>
    </row>
    <row r="237" spans="2:17" x14ac:dyDescent="0.25">
      <c r="B237">
        <v>2984</v>
      </c>
      <c r="C237" t="s">
        <v>134</v>
      </c>
      <c r="D237" t="s">
        <v>45</v>
      </c>
      <c r="E237">
        <v>2834</v>
      </c>
      <c r="F237">
        <v>1</v>
      </c>
      <c r="G237">
        <v>9.76</v>
      </c>
      <c r="H237" t="s">
        <v>46</v>
      </c>
      <c r="I237" s="1">
        <v>9760</v>
      </c>
      <c r="J237" s="2">
        <v>0.49118055555555556</v>
      </c>
      <c r="K237">
        <v>948617</v>
      </c>
      <c r="L237">
        <v>123</v>
      </c>
      <c r="M237" t="s">
        <v>47</v>
      </c>
      <c r="N237">
        <v>9</v>
      </c>
      <c r="P237">
        <f t="shared" si="6"/>
        <v>100</v>
      </c>
      <c r="Q237">
        <f t="shared" si="7"/>
        <v>0</v>
      </c>
    </row>
    <row r="238" spans="2:17" x14ac:dyDescent="0.25">
      <c r="B238">
        <v>1620</v>
      </c>
      <c r="C238" t="s">
        <v>135</v>
      </c>
      <c r="D238" t="s">
        <v>45</v>
      </c>
      <c r="E238">
        <v>2456</v>
      </c>
      <c r="F238">
        <v>1</v>
      </c>
      <c r="G238">
        <v>199.5</v>
      </c>
      <c r="H238" t="s">
        <v>46</v>
      </c>
      <c r="I238" s="1">
        <v>199500</v>
      </c>
      <c r="J238" s="2">
        <v>0.41930555555555554</v>
      </c>
      <c r="K238">
        <v>527482</v>
      </c>
      <c r="L238">
        <v>191</v>
      </c>
      <c r="M238" t="s">
        <v>55</v>
      </c>
      <c r="N238">
        <v>9</v>
      </c>
      <c r="P238">
        <f t="shared" si="6"/>
        <v>10</v>
      </c>
      <c r="Q238">
        <f t="shared" si="7"/>
        <v>0</v>
      </c>
    </row>
    <row r="239" spans="2:17" x14ac:dyDescent="0.25">
      <c r="B239">
        <v>2143</v>
      </c>
      <c r="C239" t="s">
        <v>136</v>
      </c>
      <c r="D239" t="s">
        <v>45</v>
      </c>
      <c r="E239">
        <v>2834</v>
      </c>
      <c r="F239">
        <v>1</v>
      </c>
      <c r="G239">
        <v>9.75</v>
      </c>
      <c r="H239" t="s">
        <v>46</v>
      </c>
      <c r="I239" s="1">
        <v>9750</v>
      </c>
      <c r="J239" s="2">
        <v>0.43635416666666665</v>
      </c>
      <c r="K239">
        <v>655563</v>
      </c>
      <c r="L239">
        <v>123</v>
      </c>
      <c r="M239" t="s">
        <v>47</v>
      </c>
      <c r="N239">
        <v>9</v>
      </c>
      <c r="P239">
        <f t="shared" si="6"/>
        <v>100</v>
      </c>
      <c r="Q239">
        <f t="shared" si="7"/>
        <v>0</v>
      </c>
    </row>
    <row r="240" spans="2:17" x14ac:dyDescent="0.25">
      <c r="B240" t="s">
        <v>53</v>
      </c>
      <c r="P240">
        <f t="shared" si="6"/>
        <v>0</v>
      </c>
      <c r="Q240">
        <f t="shared" si="7"/>
        <v>0</v>
      </c>
    </row>
    <row r="241" spans="1:20" x14ac:dyDescent="0.25">
      <c r="A241" t="s">
        <v>54</v>
      </c>
      <c r="P241">
        <f t="shared" si="6"/>
        <v>0</v>
      </c>
      <c r="Q241">
        <f t="shared" si="7"/>
        <v>0</v>
      </c>
    </row>
    <row r="242" spans="1:20" x14ac:dyDescent="0.25">
      <c r="B242" t="s">
        <v>1</v>
      </c>
      <c r="C242" t="s">
        <v>2</v>
      </c>
      <c r="D242" t="s">
        <v>3</v>
      </c>
      <c r="E242" t="s">
        <v>4</v>
      </c>
      <c r="F242" t="s">
        <v>5</v>
      </c>
      <c r="G242" t="s">
        <v>6</v>
      </c>
      <c r="H242" t="s">
        <v>2</v>
      </c>
      <c r="I242">
        <v>6</v>
      </c>
      <c r="P242">
        <f t="shared" si="6"/>
        <v>0</v>
      </c>
      <c r="Q242">
        <f t="shared" si="7"/>
        <v>0</v>
      </c>
    </row>
    <row r="243" spans="1:20" x14ac:dyDescent="0.25">
      <c r="B243" t="s">
        <v>7</v>
      </c>
      <c r="C243" t="s">
        <v>2</v>
      </c>
      <c r="D243">
        <v>20180612</v>
      </c>
      <c r="E243" t="s">
        <v>8</v>
      </c>
      <c r="F243" t="s">
        <v>9</v>
      </c>
      <c r="G243" t="s">
        <v>10</v>
      </c>
      <c r="H243" t="s">
        <v>11</v>
      </c>
      <c r="I243" t="s">
        <v>12</v>
      </c>
      <c r="J243" t="s">
        <v>13</v>
      </c>
      <c r="K243" t="s">
        <v>14</v>
      </c>
      <c r="L243" t="s">
        <v>15</v>
      </c>
      <c r="M243" t="s">
        <v>16</v>
      </c>
      <c r="N243" t="s">
        <v>17</v>
      </c>
      <c r="O243" t="s">
        <v>18</v>
      </c>
      <c r="P243">
        <f t="shared" si="6"/>
        <v>0</v>
      </c>
      <c r="Q243">
        <f t="shared" si="7"/>
        <v>0</v>
      </c>
      <c r="R243" t="s">
        <v>19</v>
      </c>
      <c r="S243" t="s">
        <v>20</v>
      </c>
    </row>
    <row r="244" spans="1:20" x14ac:dyDescent="0.25">
      <c r="P244">
        <f t="shared" si="6"/>
        <v>0</v>
      </c>
      <c r="Q244">
        <f t="shared" si="7"/>
        <v>0</v>
      </c>
    </row>
    <row r="245" spans="1:20" x14ac:dyDescent="0.25">
      <c r="B245" t="s">
        <v>21</v>
      </c>
      <c r="C245" t="s">
        <v>22</v>
      </c>
      <c r="D245" t="s">
        <v>23</v>
      </c>
      <c r="E245" t="s">
        <v>24</v>
      </c>
      <c r="F245" t="s">
        <v>25</v>
      </c>
      <c r="G245" t="s">
        <v>26</v>
      </c>
      <c r="H245" t="s">
        <v>27</v>
      </c>
      <c r="I245" t="s">
        <v>28</v>
      </c>
      <c r="J245" t="s">
        <v>29</v>
      </c>
      <c r="K245" t="s">
        <v>30</v>
      </c>
      <c r="L245" t="s">
        <v>31</v>
      </c>
      <c r="M245" t="s">
        <v>32</v>
      </c>
      <c r="N245" t="s">
        <v>33</v>
      </c>
      <c r="O245" t="s">
        <v>34</v>
      </c>
      <c r="P245">
        <f t="shared" si="6"/>
        <v>0</v>
      </c>
      <c r="Q245">
        <f t="shared" si="7"/>
        <v>0</v>
      </c>
      <c r="R245" t="s">
        <v>35</v>
      </c>
      <c r="S245" t="s">
        <v>36</v>
      </c>
      <c r="T245" t="s">
        <v>37</v>
      </c>
    </row>
    <row r="246" spans="1:20" x14ac:dyDescent="0.25">
      <c r="B246" t="s">
        <v>38</v>
      </c>
      <c r="C246" t="s">
        <v>39</v>
      </c>
      <c r="D246" t="s">
        <v>38</v>
      </c>
      <c r="E246" t="s">
        <v>38</v>
      </c>
      <c r="F246" t="s">
        <v>40</v>
      </c>
      <c r="G246" t="s">
        <v>38</v>
      </c>
      <c r="H246" t="s">
        <v>41</v>
      </c>
      <c r="I246" t="s">
        <v>42</v>
      </c>
      <c r="J246" t="s">
        <v>39</v>
      </c>
      <c r="K246" t="s">
        <v>38</v>
      </c>
      <c r="L246" t="s">
        <v>38</v>
      </c>
      <c r="M246" t="s">
        <v>43</v>
      </c>
      <c r="N246" t="s">
        <v>43</v>
      </c>
      <c r="O246" t="s">
        <v>44</v>
      </c>
      <c r="P246">
        <f t="shared" si="6"/>
        <v>0</v>
      </c>
      <c r="Q246">
        <f t="shared" si="7"/>
        <v>0</v>
      </c>
    </row>
    <row r="247" spans="1:20" x14ac:dyDescent="0.25">
      <c r="B247">
        <v>1526</v>
      </c>
      <c r="C247" t="s">
        <v>137</v>
      </c>
      <c r="D247" t="s">
        <v>45</v>
      </c>
      <c r="E247">
        <v>2327</v>
      </c>
      <c r="F247">
        <v>1</v>
      </c>
      <c r="G247" s="1">
        <v>1145</v>
      </c>
      <c r="H247" t="s">
        <v>49</v>
      </c>
      <c r="I247" s="1">
        <v>1145000</v>
      </c>
      <c r="J247" s="2">
        <v>0.41482638888888884</v>
      </c>
      <c r="K247">
        <v>494794</v>
      </c>
      <c r="L247">
        <v>192</v>
      </c>
      <c r="M247" t="s">
        <v>50</v>
      </c>
      <c r="N247">
        <v>9</v>
      </c>
      <c r="P247">
        <f t="shared" si="6"/>
        <v>0</v>
      </c>
      <c r="Q247">
        <f t="shared" si="7"/>
        <v>135</v>
      </c>
    </row>
    <row r="248" spans="1:20" x14ac:dyDescent="0.25">
      <c r="B248">
        <v>1527</v>
      </c>
      <c r="C248" t="s">
        <v>137</v>
      </c>
      <c r="D248" t="s">
        <v>45</v>
      </c>
      <c r="E248">
        <v>2327</v>
      </c>
      <c r="F248">
        <v>1</v>
      </c>
      <c r="G248" s="1">
        <v>1145</v>
      </c>
      <c r="H248" t="s">
        <v>49</v>
      </c>
      <c r="I248" s="1">
        <v>1145000</v>
      </c>
      <c r="J248" s="2">
        <v>0.41488425925925926</v>
      </c>
      <c r="K248">
        <v>495178</v>
      </c>
      <c r="L248">
        <v>192</v>
      </c>
      <c r="M248" t="s">
        <v>50</v>
      </c>
      <c r="N248">
        <v>9</v>
      </c>
      <c r="P248">
        <f t="shared" si="6"/>
        <v>0</v>
      </c>
      <c r="Q248">
        <f t="shared" si="7"/>
        <v>135</v>
      </c>
    </row>
    <row r="249" spans="1:20" x14ac:dyDescent="0.25">
      <c r="B249">
        <v>1860</v>
      </c>
      <c r="C249" t="s">
        <v>138</v>
      </c>
      <c r="D249" t="s">
        <v>45</v>
      </c>
      <c r="E249">
        <v>4803</v>
      </c>
      <c r="F249">
        <v>1</v>
      </c>
      <c r="G249">
        <v>174.5</v>
      </c>
      <c r="H249" t="s">
        <v>46</v>
      </c>
      <c r="I249" s="1">
        <v>174500</v>
      </c>
      <c r="J249" s="2">
        <v>0.42511574074074071</v>
      </c>
      <c r="K249">
        <v>270984</v>
      </c>
      <c r="L249">
        <v>191</v>
      </c>
      <c r="M249" t="s">
        <v>55</v>
      </c>
      <c r="N249">
        <v>9</v>
      </c>
      <c r="P249">
        <f t="shared" si="6"/>
        <v>4</v>
      </c>
      <c r="Q249">
        <f t="shared" si="7"/>
        <v>0</v>
      </c>
    </row>
    <row r="250" spans="1:20" x14ac:dyDescent="0.25">
      <c r="B250">
        <v>2951</v>
      </c>
      <c r="C250" t="s">
        <v>139</v>
      </c>
      <c r="D250" t="s">
        <v>45</v>
      </c>
      <c r="E250">
        <v>2834</v>
      </c>
      <c r="F250">
        <v>1</v>
      </c>
      <c r="G250">
        <v>9.77</v>
      </c>
      <c r="H250" t="s">
        <v>46</v>
      </c>
      <c r="I250" s="1">
        <v>9770</v>
      </c>
      <c r="J250" s="2">
        <v>0.48752314814814812</v>
      </c>
      <c r="K250">
        <v>933337</v>
      </c>
      <c r="L250">
        <v>123</v>
      </c>
      <c r="M250" t="s">
        <v>47</v>
      </c>
      <c r="N250">
        <v>9</v>
      </c>
      <c r="P250">
        <f t="shared" si="6"/>
        <v>100</v>
      </c>
      <c r="Q250">
        <f t="shared" si="7"/>
        <v>0</v>
      </c>
    </row>
    <row r="251" spans="1:20" x14ac:dyDescent="0.25">
      <c r="B251">
        <v>3096</v>
      </c>
      <c r="C251" t="s">
        <v>140</v>
      </c>
      <c r="D251" t="s">
        <v>45</v>
      </c>
      <c r="E251">
        <v>2834</v>
      </c>
      <c r="F251">
        <v>1</v>
      </c>
      <c r="G251">
        <v>9.75</v>
      </c>
      <c r="H251" t="s">
        <v>46</v>
      </c>
      <c r="I251" s="1">
        <v>9750</v>
      </c>
      <c r="J251" s="2">
        <v>0.51675925925925925</v>
      </c>
      <c r="K251">
        <v>1048716</v>
      </c>
      <c r="L251">
        <v>123</v>
      </c>
      <c r="M251" t="s">
        <v>47</v>
      </c>
      <c r="N251">
        <v>9</v>
      </c>
      <c r="P251">
        <f t="shared" si="6"/>
        <v>100</v>
      </c>
      <c r="Q251">
        <f t="shared" si="7"/>
        <v>0</v>
      </c>
    </row>
    <row r="252" spans="1:20" x14ac:dyDescent="0.25">
      <c r="B252" t="s">
        <v>51</v>
      </c>
      <c r="P252">
        <f t="shared" si="6"/>
        <v>0</v>
      </c>
      <c r="Q252">
        <f t="shared" si="7"/>
        <v>0</v>
      </c>
    </row>
    <row r="253" spans="1:20" x14ac:dyDescent="0.25">
      <c r="B253">
        <v>226</v>
      </c>
      <c r="C253" t="s">
        <v>141</v>
      </c>
      <c r="D253" t="s">
        <v>45</v>
      </c>
      <c r="E253">
        <v>2323</v>
      </c>
      <c r="F253">
        <v>2</v>
      </c>
      <c r="G253">
        <v>13.5</v>
      </c>
      <c r="H253" t="s">
        <v>49</v>
      </c>
      <c r="I253" s="1">
        <v>27000</v>
      </c>
      <c r="J253" s="2">
        <v>0.3784837962962963</v>
      </c>
      <c r="K253">
        <v>102625</v>
      </c>
      <c r="L253">
        <v>361</v>
      </c>
      <c r="M253" t="s">
        <v>142</v>
      </c>
      <c r="N253">
        <v>361</v>
      </c>
      <c r="O253" t="s">
        <v>143</v>
      </c>
      <c r="P253">
        <f t="shared" si="6"/>
        <v>0</v>
      </c>
      <c r="Q253">
        <f t="shared" si="7"/>
        <v>10</v>
      </c>
    </row>
    <row r="254" spans="1:20" x14ac:dyDescent="0.25">
      <c r="B254">
        <v>239</v>
      </c>
      <c r="C254" t="s">
        <v>144</v>
      </c>
      <c r="D254" t="s">
        <v>45</v>
      </c>
      <c r="E254">
        <v>2323</v>
      </c>
      <c r="F254">
        <v>2</v>
      </c>
      <c r="G254">
        <v>13.45</v>
      </c>
      <c r="H254" t="s">
        <v>49</v>
      </c>
      <c r="I254" s="1">
        <v>26900</v>
      </c>
      <c r="J254" s="2">
        <v>0.38050925925925921</v>
      </c>
      <c r="K254">
        <v>137917</v>
      </c>
      <c r="L254">
        <v>361</v>
      </c>
      <c r="M254" t="s">
        <v>142</v>
      </c>
      <c r="N254">
        <v>361</v>
      </c>
      <c r="O254" t="s">
        <v>143</v>
      </c>
      <c r="P254">
        <f t="shared" si="6"/>
        <v>0</v>
      </c>
      <c r="Q254">
        <f t="shared" si="7"/>
        <v>10</v>
      </c>
    </row>
    <row r="255" spans="1:20" x14ac:dyDescent="0.25">
      <c r="B255">
        <v>263</v>
      </c>
      <c r="C255" t="s">
        <v>145</v>
      </c>
      <c r="D255" t="s">
        <v>45</v>
      </c>
      <c r="E255">
        <v>2323</v>
      </c>
      <c r="F255">
        <v>2</v>
      </c>
      <c r="G255">
        <v>13.25</v>
      </c>
      <c r="H255" t="s">
        <v>49</v>
      </c>
      <c r="I255" s="1">
        <v>26500</v>
      </c>
      <c r="J255" s="2">
        <v>0.38406249999999997</v>
      </c>
      <c r="K255">
        <v>190630</v>
      </c>
      <c r="L255">
        <v>361</v>
      </c>
      <c r="M255" t="s">
        <v>142</v>
      </c>
      <c r="N255">
        <v>361</v>
      </c>
      <c r="O255" t="s">
        <v>143</v>
      </c>
      <c r="P255">
        <f t="shared" si="6"/>
        <v>0</v>
      </c>
      <c r="Q255">
        <f t="shared" si="7"/>
        <v>10</v>
      </c>
    </row>
    <row r="256" spans="1:20" x14ac:dyDescent="0.25">
      <c r="B256">
        <v>273</v>
      </c>
      <c r="C256" t="s">
        <v>146</v>
      </c>
      <c r="D256" t="s">
        <v>45</v>
      </c>
      <c r="E256">
        <v>2455</v>
      </c>
      <c r="F256">
        <v>2</v>
      </c>
      <c r="G256">
        <v>120</v>
      </c>
      <c r="H256" t="s">
        <v>49</v>
      </c>
      <c r="I256" s="1">
        <v>240000</v>
      </c>
      <c r="J256" s="2">
        <v>0.38471064814814815</v>
      </c>
      <c r="K256">
        <v>200059</v>
      </c>
      <c r="L256">
        <v>361</v>
      </c>
      <c r="M256" t="s">
        <v>142</v>
      </c>
      <c r="N256">
        <v>361</v>
      </c>
      <c r="O256" t="s">
        <v>143</v>
      </c>
      <c r="P256">
        <f t="shared" si="6"/>
        <v>0</v>
      </c>
      <c r="Q256">
        <f t="shared" si="7"/>
        <v>2</v>
      </c>
    </row>
    <row r="257" spans="2:17" x14ac:dyDescent="0.25">
      <c r="B257">
        <v>446</v>
      </c>
      <c r="C257" t="s">
        <v>147</v>
      </c>
      <c r="D257" t="s">
        <v>45</v>
      </c>
      <c r="E257">
        <v>3443</v>
      </c>
      <c r="F257">
        <v>2</v>
      </c>
      <c r="G257">
        <v>294.5</v>
      </c>
      <c r="H257" t="s">
        <v>49</v>
      </c>
      <c r="I257" s="1">
        <v>589000</v>
      </c>
      <c r="J257" s="2">
        <v>0.38827546296296295</v>
      </c>
      <c r="K257">
        <v>249093</v>
      </c>
      <c r="L257">
        <v>361</v>
      </c>
      <c r="M257" t="s">
        <v>142</v>
      </c>
      <c r="N257">
        <v>361</v>
      </c>
      <c r="O257" t="s">
        <v>143</v>
      </c>
      <c r="P257">
        <f t="shared" si="6"/>
        <v>2</v>
      </c>
      <c r="Q257">
        <f t="shared" si="7"/>
        <v>8</v>
      </c>
    </row>
    <row r="258" spans="2:17" x14ac:dyDescent="0.25">
      <c r="B258" t="s">
        <v>51</v>
      </c>
      <c r="P258">
        <f t="shared" si="6"/>
        <v>0</v>
      </c>
      <c r="Q258">
        <f t="shared" si="7"/>
        <v>0</v>
      </c>
    </row>
    <row r="259" spans="2:17" x14ac:dyDescent="0.25">
      <c r="B259">
        <v>449</v>
      </c>
      <c r="C259" t="s">
        <v>148</v>
      </c>
      <c r="D259" t="s">
        <v>45</v>
      </c>
      <c r="E259">
        <v>2360</v>
      </c>
      <c r="F259">
        <v>2</v>
      </c>
      <c r="G259">
        <v>165.5</v>
      </c>
      <c r="H259" t="s">
        <v>49</v>
      </c>
      <c r="I259" s="1">
        <v>331000</v>
      </c>
      <c r="J259" s="2">
        <v>0.38886574074074076</v>
      </c>
      <c r="K259">
        <v>258036</v>
      </c>
      <c r="L259">
        <v>361</v>
      </c>
      <c r="M259" t="s">
        <v>142</v>
      </c>
      <c r="N259">
        <v>361</v>
      </c>
      <c r="O259" t="s">
        <v>143</v>
      </c>
      <c r="P259">
        <f t="shared" si="6"/>
        <v>0</v>
      </c>
      <c r="Q259">
        <f t="shared" si="7"/>
        <v>4</v>
      </c>
    </row>
    <row r="260" spans="2:17" x14ac:dyDescent="0.25">
      <c r="B260">
        <v>452</v>
      </c>
      <c r="C260" t="s">
        <v>149</v>
      </c>
      <c r="D260" t="s">
        <v>45</v>
      </c>
      <c r="E260">
        <v>3443</v>
      </c>
      <c r="F260">
        <v>1</v>
      </c>
      <c r="G260">
        <v>293</v>
      </c>
      <c r="H260" t="s">
        <v>49</v>
      </c>
      <c r="I260" s="1">
        <v>293000</v>
      </c>
      <c r="J260" s="2">
        <v>0.38915509259259262</v>
      </c>
      <c r="K260">
        <v>262172</v>
      </c>
      <c r="L260">
        <v>361</v>
      </c>
      <c r="M260" t="s">
        <v>142</v>
      </c>
      <c r="N260">
        <v>361</v>
      </c>
      <c r="O260" t="s">
        <v>143</v>
      </c>
      <c r="P260">
        <f t="shared" si="6"/>
        <v>2</v>
      </c>
      <c r="Q260">
        <f t="shared" si="7"/>
        <v>8</v>
      </c>
    </row>
    <row r="261" spans="2:17" x14ac:dyDescent="0.25">
      <c r="B261">
        <v>451</v>
      </c>
      <c r="C261" t="s">
        <v>149</v>
      </c>
      <c r="D261" t="s">
        <v>45</v>
      </c>
      <c r="E261">
        <v>3443</v>
      </c>
      <c r="F261">
        <v>1</v>
      </c>
      <c r="G261">
        <v>294</v>
      </c>
      <c r="H261" t="s">
        <v>49</v>
      </c>
      <c r="I261" s="1">
        <v>294000</v>
      </c>
      <c r="J261" s="2">
        <v>0.38909722222222221</v>
      </c>
      <c r="K261">
        <v>261420</v>
      </c>
      <c r="L261">
        <v>361</v>
      </c>
      <c r="M261" t="s">
        <v>142</v>
      </c>
      <c r="N261">
        <v>361</v>
      </c>
      <c r="O261" t="s">
        <v>143</v>
      </c>
      <c r="P261">
        <f t="shared" si="6"/>
        <v>2</v>
      </c>
      <c r="Q261">
        <f t="shared" si="7"/>
        <v>8</v>
      </c>
    </row>
    <row r="262" spans="2:17" x14ac:dyDescent="0.25">
      <c r="B262">
        <v>455</v>
      </c>
      <c r="C262" t="s">
        <v>150</v>
      </c>
      <c r="D262" t="s">
        <v>45</v>
      </c>
      <c r="E262">
        <v>2340</v>
      </c>
      <c r="F262">
        <v>2</v>
      </c>
      <c r="G262">
        <v>27.7</v>
      </c>
      <c r="H262" t="s">
        <v>46</v>
      </c>
      <c r="I262" s="1">
        <v>55400</v>
      </c>
      <c r="J262" s="2">
        <v>0.39111111111111113</v>
      </c>
      <c r="K262">
        <v>284190</v>
      </c>
      <c r="L262">
        <v>361</v>
      </c>
      <c r="M262" t="s">
        <v>142</v>
      </c>
      <c r="N262">
        <v>361</v>
      </c>
      <c r="O262" t="s">
        <v>143</v>
      </c>
      <c r="P262">
        <f t="shared" si="6"/>
        <v>2</v>
      </c>
      <c r="Q262">
        <f t="shared" si="7"/>
        <v>4</v>
      </c>
    </row>
    <row r="263" spans="2:17" x14ac:dyDescent="0.25">
      <c r="B263">
        <v>477</v>
      </c>
      <c r="C263" t="s">
        <v>151</v>
      </c>
      <c r="D263" t="s">
        <v>45</v>
      </c>
      <c r="E263">
        <v>2344</v>
      </c>
      <c r="F263">
        <v>2</v>
      </c>
      <c r="G263">
        <v>21.65</v>
      </c>
      <c r="H263" t="s">
        <v>49</v>
      </c>
      <c r="I263" s="1">
        <v>43300</v>
      </c>
      <c r="J263" s="2">
        <v>0.39199074074074075</v>
      </c>
      <c r="K263">
        <v>293039</v>
      </c>
      <c r="L263">
        <v>361</v>
      </c>
      <c r="M263" t="s">
        <v>142</v>
      </c>
      <c r="N263">
        <v>361</v>
      </c>
      <c r="O263" t="s">
        <v>143</v>
      </c>
      <c r="P263">
        <f t="shared" si="6"/>
        <v>0</v>
      </c>
      <c r="Q263">
        <f t="shared" si="7"/>
        <v>2</v>
      </c>
    </row>
    <row r="264" spans="2:17" x14ac:dyDescent="0.25">
      <c r="B264" t="s">
        <v>51</v>
      </c>
      <c r="P264">
        <f t="shared" ref="P264:P327" si="8">SUMIFS($F$7:$F$843,$E$7:$E$843,E264,$H$7:$H$843,"S")</f>
        <v>0</v>
      </c>
      <c r="Q264">
        <f t="shared" ref="Q264:Q327" si="9">SUMIFS($F$7:$F$843,$E$7:$E$843,E264,$H$7:$H$843,"b")</f>
        <v>0</v>
      </c>
    </row>
    <row r="265" spans="2:17" x14ac:dyDescent="0.25">
      <c r="B265">
        <v>485</v>
      </c>
      <c r="C265" t="s">
        <v>152</v>
      </c>
      <c r="D265" t="s">
        <v>45</v>
      </c>
      <c r="E265">
        <v>2439</v>
      </c>
      <c r="F265">
        <v>1</v>
      </c>
      <c r="G265">
        <v>156.5</v>
      </c>
      <c r="H265" t="s">
        <v>49</v>
      </c>
      <c r="I265" s="1">
        <v>156500</v>
      </c>
      <c r="J265" s="2">
        <v>0.39252314814814815</v>
      </c>
      <c r="K265">
        <v>298500</v>
      </c>
      <c r="L265">
        <v>361</v>
      </c>
      <c r="M265" t="s">
        <v>142</v>
      </c>
      <c r="N265">
        <v>361</v>
      </c>
      <c r="O265" t="s">
        <v>143</v>
      </c>
      <c r="P265">
        <f t="shared" si="8"/>
        <v>0</v>
      </c>
      <c r="Q265">
        <f t="shared" si="9"/>
        <v>2</v>
      </c>
    </row>
    <row r="266" spans="2:17" x14ac:dyDescent="0.25">
      <c r="B266">
        <v>486</v>
      </c>
      <c r="C266" t="s">
        <v>152</v>
      </c>
      <c r="D266" t="s">
        <v>45</v>
      </c>
      <c r="E266">
        <v>2439</v>
      </c>
      <c r="F266">
        <v>1</v>
      </c>
      <c r="G266">
        <v>156.5</v>
      </c>
      <c r="H266" t="s">
        <v>49</v>
      </c>
      <c r="I266" s="1">
        <v>156500</v>
      </c>
      <c r="J266" s="2">
        <v>0.39252314814814815</v>
      </c>
      <c r="K266">
        <v>298501</v>
      </c>
      <c r="L266">
        <v>361</v>
      </c>
      <c r="M266" t="s">
        <v>142</v>
      </c>
      <c r="N266">
        <v>361</v>
      </c>
      <c r="O266" t="s">
        <v>143</v>
      </c>
      <c r="P266">
        <f t="shared" si="8"/>
        <v>0</v>
      </c>
      <c r="Q266">
        <f t="shared" si="9"/>
        <v>2</v>
      </c>
    </row>
    <row r="267" spans="2:17" x14ac:dyDescent="0.25">
      <c r="B267">
        <v>675</v>
      </c>
      <c r="C267" t="s">
        <v>153</v>
      </c>
      <c r="D267" t="s">
        <v>45</v>
      </c>
      <c r="E267">
        <v>2360</v>
      </c>
      <c r="F267">
        <v>1</v>
      </c>
      <c r="G267">
        <v>165</v>
      </c>
      <c r="H267" t="s">
        <v>49</v>
      </c>
      <c r="I267" s="1">
        <v>165000</v>
      </c>
      <c r="J267" s="2">
        <v>0.40090277777777777</v>
      </c>
      <c r="K267">
        <v>381071</v>
      </c>
      <c r="L267">
        <v>361</v>
      </c>
      <c r="M267" t="s">
        <v>142</v>
      </c>
      <c r="N267">
        <v>361</v>
      </c>
      <c r="O267" t="s">
        <v>143</v>
      </c>
      <c r="P267">
        <f t="shared" si="8"/>
        <v>0</v>
      </c>
      <c r="Q267">
        <f t="shared" si="9"/>
        <v>4</v>
      </c>
    </row>
    <row r="268" spans="2:17" x14ac:dyDescent="0.25">
      <c r="B268">
        <v>676</v>
      </c>
      <c r="C268" t="s">
        <v>153</v>
      </c>
      <c r="D268" t="s">
        <v>45</v>
      </c>
      <c r="E268">
        <v>2360</v>
      </c>
      <c r="F268">
        <v>1</v>
      </c>
      <c r="G268">
        <v>165</v>
      </c>
      <c r="H268" t="s">
        <v>49</v>
      </c>
      <c r="I268" s="1">
        <v>165000</v>
      </c>
      <c r="J268" s="2">
        <v>0.40090277777777777</v>
      </c>
      <c r="K268">
        <v>381072</v>
      </c>
      <c r="L268">
        <v>361</v>
      </c>
      <c r="M268" t="s">
        <v>142</v>
      </c>
      <c r="N268">
        <v>361</v>
      </c>
      <c r="O268" t="s">
        <v>143</v>
      </c>
      <c r="P268">
        <f t="shared" si="8"/>
        <v>0</v>
      </c>
      <c r="Q268">
        <f t="shared" si="9"/>
        <v>4</v>
      </c>
    </row>
    <row r="269" spans="2:17" x14ac:dyDescent="0.25">
      <c r="B269">
        <v>1076</v>
      </c>
      <c r="C269" t="s">
        <v>154</v>
      </c>
      <c r="D269" t="s">
        <v>45</v>
      </c>
      <c r="E269">
        <v>3443</v>
      </c>
      <c r="F269">
        <v>2</v>
      </c>
      <c r="G269">
        <v>291.5</v>
      </c>
      <c r="H269" t="s">
        <v>49</v>
      </c>
      <c r="I269" s="1">
        <v>583000</v>
      </c>
      <c r="J269" s="2">
        <v>0.41350694444444441</v>
      </c>
      <c r="K269">
        <v>484755</v>
      </c>
      <c r="L269">
        <v>361</v>
      </c>
      <c r="M269" t="s">
        <v>142</v>
      </c>
      <c r="N269">
        <v>361</v>
      </c>
      <c r="O269" t="s">
        <v>143</v>
      </c>
      <c r="P269">
        <f t="shared" si="8"/>
        <v>2</v>
      </c>
      <c r="Q269">
        <f t="shared" si="9"/>
        <v>8</v>
      </c>
    </row>
    <row r="270" spans="2:17" x14ac:dyDescent="0.25">
      <c r="B270" t="s">
        <v>51</v>
      </c>
      <c r="P270">
        <f t="shared" si="8"/>
        <v>0</v>
      </c>
      <c r="Q270">
        <f t="shared" si="9"/>
        <v>0</v>
      </c>
    </row>
    <row r="271" spans="2:17" x14ac:dyDescent="0.25">
      <c r="B271">
        <v>1081</v>
      </c>
      <c r="C271" t="s">
        <v>155</v>
      </c>
      <c r="D271" t="s">
        <v>45</v>
      </c>
      <c r="E271">
        <v>3443</v>
      </c>
      <c r="F271">
        <v>1</v>
      </c>
      <c r="G271">
        <v>291.5</v>
      </c>
      <c r="H271" t="s">
        <v>49</v>
      </c>
      <c r="I271" s="1">
        <v>291500</v>
      </c>
      <c r="J271" s="2">
        <v>0.41392361111111109</v>
      </c>
      <c r="K271">
        <v>487991</v>
      </c>
      <c r="L271">
        <v>361</v>
      </c>
      <c r="M271" t="s">
        <v>142</v>
      </c>
      <c r="N271">
        <v>361</v>
      </c>
      <c r="O271" t="s">
        <v>143</v>
      </c>
      <c r="P271">
        <f t="shared" si="8"/>
        <v>2</v>
      </c>
      <c r="Q271">
        <f t="shared" si="9"/>
        <v>8</v>
      </c>
    </row>
    <row r="272" spans="2:17" x14ac:dyDescent="0.25">
      <c r="B272">
        <v>1082</v>
      </c>
      <c r="C272" t="s">
        <v>155</v>
      </c>
      <c r="D272" t="s">
        <v>45</v>
      </c>
      <c r="E272">
        <v>3443</v>
      </c>
      <c r="F272">
        <v>1</v>
      </c>
      <c r="G272">
        <v>291.5</v>
      </c>
      <c r="H272" t="s">
        <v>49</v>
      </c>
      <c r="I272" s="1">
        <v>291500</v>
      </c>
      <c r="J272" s="2">
        <v>0.41392361111111109</v>
      </c>
      <c r="K272">
        <v>487992</v>
      </c>
      <c r="L272">
        <v>361</v>
      </c>
      <c r="M272" t="s">
        <v>142</v>
      </c>
      <c r="N272">
        <v>361</v>
      </c>
      <c r="O272" t="s">
        <v>143</v>
      </c>
      <c r="P272">
        <f t="shared" si="8"/>
        <v>2</v>
      </c>
      <c r="Q272">
        <f t="shared" si="9"/>
        <v>8</v>
      </c>
    </row>
    <row r="273" spans="2:17" x14ac:dyDescent="0.25">
      <c r="B273">
        <v>1152</v>
      </c>
      <c r="C273" t="s">
        <v>156</v>
      </c>
      <c r="D273" t="s">
        <v>45</v>
      </c>
      <c r="E273">
        <v>1477</v>
      </c>
      <c r="F273">
        <v>1</v>
      </c>
      <c r="G273">
        <v>137.5</v>
      </c>
      <c r="H273" t="s">
        <v>46</v>
      </c>
      <c r="I273" s="1">
        <v>137500</v>
      </c>
      <c r="J273" s="2">
        <v>0.41894675925925928</v>
      </c>
      <c r="K273">
        <v>524766</v>
      </c>
      <c r="L273">
        <v>364</v>
      </c>
      <c r="M273" t="s">
        <v>157</v>
      </c>
      <c r="N273">
        <v>364</v>
      </c>
      <c r="O273" t="s">
        <v>143</v>
      </c>
      <c r="P273">
        <f t="shared" si="8"/>
        <v>2</v>
      </c>
      <c r="Q273">
        <f t="shared" si="9"/>
        <v>0</v>
      </c>
    </row>
    <row r="274" spans="2:17" x14ac:dyDescent="0.25">
      <c r="B274">
        <v>1153</v>
      </c>
      <c r="C274" t="s">
        <v>156</v>
      </c>
      <c r="D274" t="s">
        <v>45</v>
      </c>
      <c r="E274">
        <v>1477</v>
      </c>
      <c r="F274">
        <v>1</v>
      </c>
      <c r="G274">
        <v>137.5</v>
      </c>
      <c r="H274" t="s">
        <v>46</v>
      </c>
      <c r="I274" s="1">
        <v>137500</v>
      </c>
      <c r="J274" s="2">
        <v>0.41894675925925928</v>
      </c>
      <c r="K274">
        <v>524767</v>
      </c>
      <c r="L274">
        <v>364</v>
      </c>
      <c r="M274" t="s">
        <v>157</v>
      </c>
      <c r="N274">
        <v>364</v>
      </c>
      <c r="O274" t="s">
        <v>143</v>
      </c>
      <c r="P274">
        <f t="shared" si="8"/>
        <v>2</v>
      </c>
      <c r="Q274">
        <f t="shared" si="9"/>
        <v>0</v>
      </c>
    </row>
    <row r="275" spans="2:17" x14ac:dyDescent="0.25">
      <c r="B275">
        <v>1194</v>
      </c>
      <c r="C275" t="s">
        <v>158</v>
      </c>
      <c r="D275" t="s">
        <v>45</v>
      </c>
      <c r="E275">
        <v>6147</v>
      </c>
      <c r="F275">
        <v>2</v>
      </c>
      <c r="G275">
        <v>64.599999999999994</v>
      </c>
      <c r="H275" t="s">
        <v>49</v>
      </c>
      <c r="I275" s="1">
        <v>129200</v>
      </c>
      <c r="J275" s="2">
        <v>0.4208796296296296</v>
      </c>
      <c r="K275">
        <v>256672</v>
      </c>
      <c r="L275">
        <v>361</v>
      </c>
      <c r="M275" t="s">
        <v>142</v>
      </c>
      <c r="N275">
        <v>361</v>
      </c>
      <c r="O275" t="s">
        <v>143</v>
      </c>
      <c r="P275">
        <f t="shared" si="8"/>
        <v>0</v>
      </c>
      <c r="Q275">
        <f t="shared" si="9"/>
        <v>2</v>
      </c>
    </row>
    <row r="276" spans="2:17" x14ac:dyDescent="0.25">
      <c r="B276" t="s">
        <v>51</v>
      </c>
      <c r="P276">
        <f t="shared" si="8"/>
        <v>0</v>
      </c>
      <c r="Q276">
        <f t="shared" si="9"/>
        <v>0</v>
      </c>
    </row>
    <row r="277" spans="2:17" x14ac:dyDescent="0.25">
      <c r="B277">
        <v>1775</v>
      </c>
      <c r="C277" t="s">
        <v>159</v>
      </c>
      <c r="D277" t="s">
        <v>45</v>
      </c>
      <c r="E277">
        <v>8163</v>
      </c>
      <c r="F277">
        <v>1</v>
      </c>
      <c r="G277">
        <v>84.2</v>
      </c>
      <c r="H277" t="s">
        <v>46</v>
      </c>
      <c r="I277" s="1">
        <v>84200</v>
      </c>
      <c r="J277" s="2">
        <v>0.43064814814814811</v>
      </c>
      <c r="K277">
        <v>620135</v>
      </c>
      <c r="L277">
        <v>361</v>
      </c>
      <c r="M277" t="s">
        <v>142</v>
      </c>
      <c r="N277">
        <v>361</v>
      </c>
      <c r="O277" t="s">
        <v>143</v>
      </c>
      <c r="P277">
        <f t="shared" si="8"/>
        <v>18</v>
      </c>
      <c r="Q277">
        <f t="shared" si="9"/>
        <v>20</v>
      </c>
    </row>
    <row r="278" spans="2:17" x14ac:dyDescent="0.25">
      <c r="B278">
        <v>1776</v>
      </c>
      <c r="C278" t="s">
        <v>159</v>
      </c>
      <c r="D278" t="s">
        <v>45</v>
      </c>
      <c r="E278">
        <v>8163</v>
      </c>
      <c r="F278">
        <v>1</v>
      </c>
      <c r="G278">
        <v>84.2</v>
      </c>
      <c r="H278" t="s">
        <v>46</v>
      </c>
      <c r="I278" s="1">
        <v>84200</v>
      </c>
      <c r="J278" s="2">
        <v>0.43070601851851853</v>
      </c>
      <c r="K278">
        <v>620643</v>
      </c>
      <c r="L278">
        <v>361</v>
      </c>
      <c r="M278" t="s">
        <v>142</v>
      </c>
      <c r="N278">
        <v>361</v>
      </c>
      <c r="O278" t="s">
        <v>143</v>
      </c>
      <c r="P278">
        <f t="shared" si="8"/>
        <v>18</v>
      </c>
      <c r="Q278">
        <f t="shared" si="9"/>
        <v>20</v>
      </c>
    </row>
    <row r="279" spans="2:17" x14ac:dyDescent="0.25">
      <c r="B279">
        <v>1740</v>
      </c>
      <c r="C279" t="s">
        <v>160</v>
      </c>
      <c r="D279" t="s">
        <v>45</v>
      </c>
      <c r="E279">
        <v>6153</v>
      </c>
      <c r="F279">
        <v>1</v>
      </c>
      <c r="G279">
        <v>70.7</v>
      </c>
      <c r="H279" t="s">
        <v>46</v>
      </c>
      <c r="I279" s="1">
        <v>70700</v>
      </c>
      <c r="J279" t="s">
        <v>161</v>
      </c>
      <c r="K279" s="2">
        <v>0.42842592592592593</v>
      </c>
      <c r="L279">
        <v>600912</v>
      </c>
      <c r="M279">
        <v>363</v>
      </c>
      <c r="N279" t="s">
        <v>142</v>
      </c>
      <c r="O279">
        <v>363</v>
      </c>
      <c r="P279">
        <f t="shared" si="8"/>
        <v>42</v>
      </c>
      <c r="Q279">
        <f t="shared" si="9"/>
        <v>0</v>
      </c>
    </row>
    <row r="280" spans="2:17" x14ac:dyDescent="0.25">
      <c r="B280">
        <v>1741</v>
      </c>
      <c r="C280" t="s">
        <v>160</v>
      </c>
      <c r="D280" t="s">
        <v>45</v>
      </c>
      <c r="E280">
        <v>6153</v>
      </c>
      <c r="F280">
        <v>1</v>
      </c>
      <c r="G280">
        <v>70.7</v>
      </c>
      <c r="H280" t="s">
        <v>46</v>
      </c>
      <c r="I280" s="1">
        <v>70700</v>
      </c>
      <c r="J280" t="s">
        <v>161</v>
      </c>
      <c r="K280" s="2">
        <v>0.42842592592592593</v>
      </c>
      <c r="L280">
        <v>600913</v>
      </c>
      <c r="M280">
        <v>363</v>
      </c>
      <c r="N280" t="s">
        <v>142</v>
      </c>
      <c r="O280">
        <v>363</v>
      </c>
      <c r="P280">
        <f t="shared" si="8"/>
        <v>42</v>
      </c>
      <c r="Q280">
        <f t="shared" si="9"/>
        <v>0</v>
      </c>
    </row>
    <row r="281" spans="2:17" x14ac:dyDescent="0.25">
      <c r="B281">
        <v>1742</v>
      </c>
      <c r="C281" t="s">
        <v>162</v>
      </c>
      <c r="D281" t="s">
        <v>45</v>
      </c>
      <c r="E281">
        <v>6153</v>
      </c>
      <c r="F281">
        <v>2</v>
      </c>
      <c r="G281">
        <v>70.7</v>
      </c>
      <c r="H281" t="s">
        <v>46</v>
      </c>
      <c r="I281" s="1">
        <v>141400</v>
      </c>
      <c r="J281" t="s">
        <v>161</v>
      </c>
      <c r="K281" s="2">
        <v>0.42848379629629635</v>
      </c>
      <c r="L281">
        <v>601441</v>
      </c>
      <c r="M281">
        <v>363</v>
      </c>
      <c r="N281" t="s">
        <v>142</v>
      </c>
      <c r="O281">
        <v>363</v>
      </c>
      <c r="P281">
        <f t="shared" si="8"/>
        <v>42</v>
      </c>
      <c r="Q281">
        <f t="shared" si="9"/>
        <v>0</v>
      </c>
    </row>
    <row r="282" spans="2:17" x14ac:dyDescent="0.25">
      <c r="B282" t="s">
        <v>51</v>
      </c>
      <c r="P282">
        <f t="shared" si="8"/>
        <v>0</v>
      </c>
      <c r="Q282">
        <f t="shared" si="9"/>
        <v>0</v>
      </c>
    </row>
    <row r="283" spans="2:17" x14ac:dyDescent="0.25">
      <c r="B283">
        <v>1743</v>
      </c>
      <c r="C283" t="s">
        <v>163</v>
      </c>
      <c r="D283" t="s">
        <v>45</v>
      </c>
      <c r="E283">
        <v>6153</v>
      </c>
      <c r="F283">
        <v>2</v>
      </c>
      <c r="G283">
        <v>70.7</v>
      </c>
      <c r="H283" t="s">
        <v>46</v>
      </c>
      <c r="I283" s="1">
        <v>141400</v>
      </c>
      <c r="J283" t="s">
        <v>161</v>
      </c>
      <c r="K283" s="2">
        <v>0.42854166666666665</v>
      </c>
      <c r="L283">
        <v>601896</v>
      </c>
      <c r="M283">
        <v>363</v>
      </c>
      <c r="N283" t="s">
        <v>142</v>
      </c>
      <c r="O283">
        <v>363</v>
      </c>
      <c r="P283">
        <f t="shared" si="8"/>
        <v>42</v>
      </c>
      <c r="Q283">
        <f t="shared" si="9"/>
        <v>0</v>
      </c>
    </row>
    <row r="284" spans="2:17" x14ac:dyDescent="0.25">
      <c r="B284">
        <v>1745</v>
      </c>
      <c r="C284" t="s">
        <v>164</v>
      </c>
      <c r="D284" t="s">
        <v>45</v>
      </c>
      <c r="E284">
        <v>6153</v>
      </c>
      <c r="F284">
        <v>2</v>
      </c>
      <c r="G284">
        <v>70.8</v>
      </c>
      <c r="H284" t="s">
        <v>46</v>
      </c>
      <c r="I284" s="1">
        <v>141600</v>
      </c>
      <c r="J284" t="s">
        <v>161</v>
      </c>
      <c r="K284" s="2">
        <v>0.42859953703703701</v>
      </c>
      <c r="L284">
        <v>602317</v>
      </c>
      <c r="M284">
        <v>363</v>
      </c>
      <c r="N284" t="s">
        <v>142</v>
      </c>
      <c r="O284">
        <v>363</v>
      </c>
      <c r="P284">
        <f t="shared" si="8"/>
        <v>42</v>
      </c>
      <c r="Q284">
        <f t="shared" si="9"/>
        <v>0</v>
      </c>
    </row>
    <row r="285" spans="2:17" x14ac:dyDescent="0.25">
      <c r="B285">
        <v>1890</v>
      </c>
      <c r="C285" t="s">
        <v>165</v>
      </c>
      <c r="D285" t="s">
        <v>45</v>
      </c>
      <c r="E285">
        <v>3673</v>
      </c>
      <c r="F285">
        <v>2</v>
      </c>
      <c r="G285">
        <v>65.2</v>
      </c>
      <c r="H285" t="s">
        <v>46</v>
      </c>
      <c r="I285" s="1">
        <v>130400</v>
      </c>
      <c r="J285" s="2">
        <v>0.44130787037037034</v>
      </c>
      <c r="K285">
        <v>687213</v>
      </c>
      <c r="L285">
        <v>364</v>
      </c>
      <c r="M285" t="s">
        <v>157</v>
      </c>
      <c r="N285">
        <v>364</v>
      </c>
      <c r="O285" t="s">
        <v>143</v>
      </c>
      <c r="P285">
        <f t="shared" si="8"/>
        <v>2</v>
      </c>
      <c r="Q285">
        <f t="shared" si="9"/>
        <v>0</v>
      </c>
    </row>
    <row r="286" spans="2:17" x14ac:dyDescent="0.25">
      <c r="B286">
        <v>1918</v>
      </c>
      <c r="C286" t="s">
        <v>166</v>
      </c>
      <c r="D286" t="s">
        <v>45</v>
      </c>
      <c r="E286">
        <v>6153</v>
      </c>
      <c r="F286">
        <v>1</v>
      </c>
      <c r="G286">
        <v>70.599999999999994</v>
      </c>
      <c r="H286" t="s">
        <v>46</v>
      </c>
      <c r="I286" s="1">
        <v>70600</v>
      </c>
      <c r="J286" t="s">
        <v>161</v>
      </c>
      <c r="K286" s="2">
        <v>0.44167824074074075</v>
      </c>
      <c r="L286">
        <v>689949</v>
      </c>
      <c r="M286">
        <v>363</v>
      </c>
      <c r="N286" t="s">
        <v>142</v>
      </c>
      <c r="O286">
        <v>363</v>
      </c>
      <c r="P286">
        <f t="shared" si="8"/>
        <v>42</v>
      </c>
      <c r="Q286">
        <f t="shared" si="9"/>
        <v>0</v>
      </c>
    </row>
    <row r="287" spans="2:17" x14ac:dyDescent="0.25">
      <c r="B287">
        <v>1919</v>
      </c>
      <c r="C287" t="s">
        <v>166</v>
      </c>
      <c r="D287" t="s">
        <v>45</v>
      </c>
      <c r="E287">
        <v>6153</v>
      </c>
      <c r="F287">
        <v>1</v>
      </c>
      <c r="G287">
        <v>70.599999999999994</v>
      </c>
      <c r="H287" t="s">
        <v>46</v>
      </c>
      <c r="I287" s="1">
        <v>70600</v>
      </c>
      <c r="J287" t="s">
        <v>161</v>
      </c>
      <c r="K287" s="2">
        <v>0.44167824074074075</v>
      </c>
      <c r="L287">
        <v>689950</v>
      </c>
      <c r="M287">
        <v>363</v>
      </c>
      <c r="N287" t="s">
        <v>142</v>
      </c>
      <c r="O287">
        <v>363</v>
      </c>
      <c r="P287">
        <f t="shared" si="8"/>
        <v>42</v>
      </c>
      <c r="Q287">
        <f t="shared" si="9"/>
        <v>0</v>
      </c>
    </row>
    <row r="288" spans="2:17" x14ac:dyDescent="0.25">
      <c r="B288" t="s">
        <v>53</v>
      </c>
      <c r="P288">
        <f t="shared" si="8"/>
        <v>0</v>
      </c>
      <c r="Q288">
        <f t="shared" si="9"/>
        <v>0</v>
      </c>
    </row>
    <row r="289" spans="1:20" x14ac:dyDescent="0.25">
      <c r="A289" t="s">
        <v>54</v>
      </c>
      <c r="P289">
        <f t="shared" si="8"/>
        <v>0</v>
      </c>
      <c r="Q289">
        <f t="shared" si="9"/>
        <v>0</v>
      </c>
    </row>
    <row r="290" spans="1:20" x14ac:dyDescent="0.25">
      <c r="B290" t="s">
        <v>1</v>
      </c>
      <c r="C290" t="s">
        <v>2</v>
      </c>
      <c r="D290" t="s">
        <v>3</v>
      </c>
      <c r="E290" t="s">
        <v>4</v>
      </c>
      <c r="F290" t="s">
        <v>5</v>
      </c>
      <c r="G290" t="s">
        <v>6</v>
      </c>
      <c r="H290" t="s">
        <v>2</v>
      </c>
      <c r="I290">
        <v>7</v>
      </c>
      <c r="P290">
        <f t="shared" si="8"/>
        <v>0</v>
      </c>
      <c r="Q290">
        <f t="shared" si="9"/>
        <v>0</v>
      </c>
    </row>
    <row r="291" spans="1:20" x14ac:dyDescent="0.25">
      <c r="B291" t="s">
        <v>7</v>
      </c>
      <c r="C291" t="s">
        <v>2</v>
      </c>
      <c r="D291">
        <v>20180612</v>
      </c>
      <c r="E291" t="s">
        <v>8</v>
      </c>
      <c r="F291" t="s">
        <v>9</v>
      </c>
      <c r="G291" t="s">
        <v>10</v>
      </c>
      <c r="H291" t="s">
        <v>11</v>
      </c>
      <c r="I291" t="s">
        <v>12</v>
      </c>
      <c r="J291" t="s">
        <v>13</v>
      </c>
      <c r="K291" t="s">
        <v>14</v>
      </c>
      <c r="L291" t="s">
        <v>15</v>
      </c>
      <c r="M291" t="s">
        <v>16</v>
      </c>
      <c r="N291" t="s">
        <v>17</v>
      </c>
      <c r="O291" t="s">
        <v>18</v>
      </c>
      <c r="P291">
        <f t="shared" si="8"/>
        <v>0</v>
      </c>
      <c r="Q291">
        <f t="shared" si="9"/>
        <v>0</v>
      </c>
      <c r="R291" t="s">
        <v>19</v>
      </c>
      <c r="S291" t="s">
        <v>20</v>
      </c>
    </row>
    <row r="292" spans="1:20" x14ac:dyDescent="0.25">
      <c r="P292">
        <f t="shared" si="8"/>
        <v>0</v>
      </c>
      <c r="Q292">
        <f t="shared" si="9"/>
        <v>0</v>
      </c>
    </row>
    <row r="293" spans="1:20" x14ac:dyDescent="0.25">
      <c r="B293" t="s">
        <v>21</v>
      </c>
      <c r="C293" t="s">
        <v>22</v>
      </c>
      <c r="D293" t="s">
        <v>23</v>
      </c>
      <c r="E293" t="s">
        <v>24</v>
      </c>
      <c r="F293" t="s">
        <v>25</v>
      </c>
      <c r="G293" t="s">
        <v>26</v>
      </c>
      <c r="H293" t="s">
        <v>27</v>
      </c>
      <c r="I293" t="s">
        <v>28</v>
      </c>
      <c r="J293" t="s">
        <v>29</v>
      </c>
      <c r="K293" t="s">
        <v>30</v>
      </c>
      <c r="L293" t="s">
        <v>31</v>
      </c>
      <c r="M293" t="s">
        <v>32</v>
      </c>
      <c r="N293" t="s">
        <v>33</v>
      </c>
      <c r="O293" t="s">
        <v>34</v>
      </c>
      <c r="P293">
        <f t="shared" si="8"/>
        <v>0</v>
      </c>
      <c r="Q293">
        <f t="shared" si="9"/>
        <v>0</v>
      </c>
      <c r="R293" t="s">
        <v>35</v>
      </c>
      <c r="S293" t="s">
        <v>36</v>
      </c>
      <c r="T293" t="s">
        <v>37</v>
      </c>
    </row>
    <row r="294" spans="1:20" x14ac:dyDescent="0.25">
      <c r="B294" t="s">
        <v>38</v>
      </c>
      <c r="C294" t="s">
        <v>39</v>
      </c>
      <c r="D294" t="s">
        <v>38</v>
      </c>
      <c r="E294" t="s">
        <v>38</v>
      </c>
      <c r="F294" t="s">
        <v>40</v>
      </c>
      <c r="G294" t="s">
        <v>38</v>
      </c>
      <c r="H294" t="s">
        <v>41</v>
      </c>
      <c r="I294" t="s">
        <v>42</v>
      </c>
      <c r="J294" t="s">
        <v>39</v>
      </c>
      <c r="K294" t="s">
        <v>38</v>
      </c>
      <c r="L294" t="s">
        <v>38</v>
      </c>
      <c r="M294" t="s">
        <v>43</v>
      </c>
      <c r="N294" t="s">
        <v>43</v>
      </c>
      <c r="O294" t="s">
        <v>44</v>
      </c>
      <c r="P294">
        <f t="shared" si="8"/>
        <v>0</v>
      </c>
      <c r="Q294">
        <f t="shared" si="9"/>
        <v>0</v>
      </c>
    </row>
    <row r="295" spans="1:20" x14ac:dyDescent="0.25">
      <c r="B295">
        <v>1920</v>
      </c>
      <c r="C295" t="s">
        <v>166</v>
      </c>
      <c r="D295" t="s">
        <v>45</v>
      </c>
      <c r="E295">
        <v>6153</v>
      </c>
      <c r="F295">
        <v>1</v>
      </c>
      <c r="G295">
        <v>70.599999999999994</v>
      </c>
      <c r="H295" t="s">
        <v>46</v>
      </c>
      <c r="I295" s="1">
        <v>70600</v>
      </c>
      <c r="J295" t="s">
        <v>161</v>
      </c>
      <c r="K295" s="2">
        <v>0.44167824074074075</v>
      </c>
      <c r="L295">
        <v>689951</v>
      </c>
      <c r="M295">
        <v>363</v>
      </c>
      <c r="N295" t="s">
        <v>142</v>
      </c>
      <c r="O295">
        <v>363</v>
      </c>
      <c r="P295">
        <f t="shared" si="8"/>
        <v>42</v>
      </c>
      <c r="Q295">
        <f t="shared" si="9"/>
        <v>0</v>
      </c>
    </row>
    <row r="296" spans="1:20" x14ac:dyDescent="0.25">
      <c r="B296">
        <v>1922</v>
      </c>
      <c r="C296" t="s">
        <v>166</v>
      </c>
      <c r="D296" t="s">
        <v>45</v>
      </c>
      <c r="E296">
        <v>6153</v>
      </c>
      <c r="F296">
        <v>2</v>
      </c>
      <c r="G296">
        <v>70.599999999999994</v>
      </c>
      <c r="H296" t="s">
        <v>46</v>
      </c>
      <c r="I296" s="1">
        <v>141200</v>
      </c>
      <c r="J296" t="s">
        <v>161</v>
      </c>
      <c r="K296" s="2">
        <v>0.44173611111111111</v>
      </c>
      <c r="L296">
        <v>690265</v>
      </c>
      <c r="M296">
        <v>363</v>
      </c>
      <c r="N296" t="s">
        <v>142</v>
      </c>
      <c r="O296">
        <v>363</v>
      </c>
      <c r="P296">
        <f t="shared" si="8"/>
        <v>42</v>
      </c>
      <c r="Q296">
        <f t="shared" si="9"/>
        <v>0</v>
      </c>
    </row>
    <row r="297" spans="1:20" x14ac:dyDescent="0.25">
      <c r="B297">
        <v>1966</v>
      </c>
      <c r="C297" t="s">
        <v>167</v>
      </c>
      <c r="D297" t="s">
        <v>45</v>
      </c>
      <c r="E297">
        <v>6153</v>
      </c>
      <c r="F297">
        <v>5</v>
      </c>
      <c r="G297">
        <v>71.400000000000006</v>
      </c>
      <c r="H297" t="s">
        <v>46</v>
      </c>
      <c r="I297" s="1">
        <v>357000</v>
      </c>
      <c r="J297" t="s">
        <v>161</v>
      </c>
      <c r="K297" s="2">
        <v>0.44400462962962961</v>
      </c>
      <c r="L297">
        <v>704339</v>
      </c>
      <c r="M297">
        <v>363</v>
      </c>
      <c r="N297" t="s">
        <v>142</v>
      </c>
      <c r="O297">
        <v>363</v>
      </c>
      <c r="P297">
        <f t="shared" si="8"/>
        <v>42</v>
      </c>
      <c r="Q297">
        <f t="shared" si="9"/>
        <v>0</v>
      </c>
    </row>
    <row r="298" spans="1:20" x14ac:dyDescent="0.25">
      <c r="B298">
        <v>2332</v>
      </c>
      <c r="C298" t="s">
        <v>168</v>
      </c>
      <c r="D298" t="s">
        <v>45</v>
      </c>
      <c r="E298">
        <v>8163</v>
      </c>
      <c r="F298">
        <v>2</v>
      </c>
      <c r="G298">
        <v>83.1</v>
      </c>
      <c r="H298" t="s">
        <v>46</v>
      </c>
      <c r="I298" s="1">
        <v>166200</v>
      </c>
      <c r="J298" s="2">
        <v>0.45057870370370368</v>
      </c>
      <c r="K298">
        <v>737634</v>
      </c>
      <c r="L298">
        <v>361</v>
      </c>
      <c r="M298" t="s">
        <v>142</v>
      </c>
      <c r="N298">
        <v>361</v>
      </c>
      <c r="O298" t="s">
        <v>143</v>
      </c>
      <c r="P298">
        <f t="shared" si="8"/>
        <v>18</v>
      </c>
      <c r="Q298">
        <f t="shared" si="9"/>
        <v>20</v>
      </c>
    </row>
    <row r="299" spans="1:20" x14ac:dyDescent="0.25">
      <c r="B299">
        <v>2333</v>
      </c>
      <c r="C299" t="s">
        <v>169</v>
      </c>
      <c r="D299" t="s">
        <v>45</v>
      </c>
      <c r="E299">
        <v>8163</v>
      </c>
      <c r="F299">
        <v>2</v>
      </c>
      <c r="G299">
        <v>83</v>
      </c>
      <c r="H299" t="s">
        <v>46</v>
      </c>
      <c r="I299" s="1">
        <v>166000</v>
      </c>
      <c r="J299" s="2">
        <v>0.45063657407407409</v>
      </c>
      <c r="K299">
        <v>738058</v>
      </c>
      <c r="L299">
        <v>361</v>
      </c>
      <c r="M299" t="s">
        <v>142</v>
      </c>
      <c r="N299">
        <v>361</v>
      </c>
      <c r="O299" t="s">
        <v>143</v>
      </c>
      <c r="P299">
        <f t="shared" si="8"/>
        <v>18</v>
      </c>
      <c r="Q299">
        <f t="shared" si="9"/>
        <v>20</v>
      </c>
    </row>
    <row r="300" spans="1:20" x14ac:dyDescent="0.25">
      <c r="B300" t="s">
        <v>51</v>
      </c>
      <c r="P300">
        <f t="shared" si="8"/>
        <v>0</v>
      </c>
      <c r="Q300">
        <f t="shared" si="9"/>
        <v>0</v>
      </c>
    </row>
    <row r="301" spans="1:20" x14ac:dyDescent="0.25">
      <c r="B301">
        <v>2339</v>
      </c>
      <c r="C301" t="s">
        <v>170</v>
      </c>
      <c r="D301" t="s">
        <v>45</v>
      </c>
      <c r="E301">
        <v>3443</v>
      </c>
      <c r="F301">
        <v>2</v>
      </c>
      <c r="G301">
        <v>290.5</v>
      </c>
      <c r="H301" t="s">
        <v>46</v>
      </c>
      <c r="I301" s="1">
        <v>581000</v>
      </c>
      <c r="J301" s="2">
        <v>0.45165509259259262</v>
      </c>
      <c r="K301">
        <v>747184</v>
      </c>
      <c r="L301">
        <v>361</v>
      </c>
      <c r="M301" t="s">
        <v>142</v>
      </c>
      <c r="N301">
        <v>361</v>
      </c>
      <c r="O301" t="s">
        <v>143</v>
      </c>
      <c r="P301">
        <f t="shared" si="8"/>
        <v>2</v>
      </c>
      <c r="Q301">
        <f t="shared" si="9"/>
        <v>8</v>
      </c>
    </row>
    <row r="302" spans="1:20" x14ac:dyDescent="0.25">
      <c r="B302">
        <v>2342</v>
      </c>
      <c r="C302" t="s">
        <v>171</v>
      </c>
      <c r="D302" t="s">
        <v>45</v>
      </c>
      <c r="E302">
        <v>6153</v>
      </c>
      <c r="F302">
        <v>1</v>
      </c>
      <c r="G302">
        <v>70.7</v>
      </c>
      <c r="H302" t="s">
        <v>46</v>
      </c>
      <c r="I302" s="1">
        <v>70700</v>
      </c>
      <c r="J302" t="s">
        <v>161</v>
      </c>
      <c r="K302" s="2">
        <v>0.45185185185185189</v>
      </c>
      <c r="L302">
        <v>748755</v>
      </c>
      <c r="M302">
        <v>363</v>
      </c>
      <c r="N302" t="s">
        <v>142</v>
      </c>
      <c r="O302">
        <v>363</v>
      </c>
      <c r="P302">
        <f t="shared" si="8"/>
        <v>42</v>
      </c>
      <c r="Q302">
        <f t="shared" si="9"/>
        <v>0</v>
      </c>
    </row>
    <row r="303" spans="1:20" x14ac:dyDescent="0.25">
      <c r="B303">
        <v>2343</v>
      </c>
      <c r="C303" t="s">
        <v>171</v>
      </c>
      <c r="D303" t="s">
        <v>45</v>
      </c>
      <c r="E303">
        <v>6153</v>
      </c>
      <c r="F303">
        <v>1</v>
      </c>
      <c r="G303">
        <v>70.7</v>
      </c>
      <c r="H303" t="s">
        <v>46</v>
      </c>
      <c r="I303" s="1">
        <v>70700</v>
      </c>
      <c r="J303" t="s">
        <v>161</v>
      </c>
      <c r="K303" s="2">
        <v>0.45185185185185189</v>
      </c>
      <c r="L303">
        <v>748756</v>
      </c>
      <c r="M303">
        <v>363</v>
      </c>
      <c r="N303" t="s">
        <v>142</v>
      </c>
      <c r="O303">
        <v>363</v>
      </c>
      <c r="P303">
        <f t="shared" si="8"/>
        <v>42</v>
      </c>
      <c r="Q303">
        <f t="shared" si="9"/>
        <v>0</v>
      </c>
    </row>
    <row r="304" spans="1:20" x14ac:dyDescent="0.25">
      <c r="B304">
        <v>2368</v>
      </c>
      <c r="C304" t="s">
        <v>172</v>
      </c>
      <c r="D304" t="s">
        <v>45</v>
      </c>
      <c r="E304">
        <v>6153</v>
      </c>
      <c r="F304">
        <v>2</v>
      </c>
      <c r="G304">
        <v>70.7</v>
      </c>
      <c r="H304" t="s">
        <v>46</v>
      </c>
      <c r="I304" s="1">
        <v>141400</v>
      </c>
      <c r="J304" t="s">
        <v>161</v>
      </c>
      <c r="K304" s="2">
        <v>0.45336805555555554</v>
      </c>
      <c r="L304">
        <v>760306</v>
      </c>
      <c r="M304">
        <v>363</v>
      </c>
      <c r="N304" t="s">
        <v>142</v>
      </c>
      <c r="O304">
        <v>363</v>
      </c>
      <c r="P304">
        <f t="shared" si="8"/>
        <v>42</v>
      </c>
      <c r="Q304">
        <f t="shared" si="9"/>
        <v>0</v>
      </c>
    </row>
    <row r="305" spans="2:17" x14ac:dyDescent="0.25">
      <c r="B305">
        <v>2369</v>
      </c>
      <c r="C305" t="s">
        <v>173</v>
      </c>
      <c r="D305" t="s">
        <v>45</v>
      </c>
      <c r="E305">
        <v>6153</v>
      </c>
      <c r="F305">
        <v>2</v>
      </c>
      <c r="G305">
        <v>70.7</v>
      </c>
      <c r="H305" t="s">
        <v>46</v>
      </c>
      <c r="I305" s="1">
        <v>141400</v>
      </c>
      <c r="J305" t="s">
        <v>161</v>
      </c>
      <c r="K305" s="2">
        <v>0.4534259259259259</v>
      </c>
      <c r="L305">
        <v>760764</v>
      </c>
      <c r="M305">
        <v>363</v>
      </c>
      <c r="N305" t="s">
        <v>142</v>
      </c>
      <c r="O305">
        <v>363</v>
      </c>
      <c r="P305">
        <f t="shared" si="8"/>
        <v>42</v>
      </c>
      <c r="Q305">
        <f t="shared" si="9"/>
        <v>0</v>
      </c>
    </row>
    <row r="306" spans="2:17" x14ac:dyDescent="0.25">
      <c r="B306" t="s">
        <v>51</v>
      </c>
      <c r="P306">
        <f t="shared" si="8"/>
        <v>0</v>
      </c>
      <c r="Q306">
        <f t="shared" si="9"/>
        <v>0</v>
      </c>
    </row>
    <row r="307" spans="2:17" x14ac:dyDescent="0.25">
      <c r="B307">
        <v>2371</v>
      </c>
      <c r="C307" t="s">
        <v>174</v>
      </c>
      <c r="D307" t="s">
        <v>45</v>
      </c>
      <c r="E307">
        <v>6153</v>
      </c>
      <c r="F307">
        <v>2</v>
      </c>
      <c r="G307">
        <v>70.7</v>
      </c>
      <c r="H307" t="s">
        <v>46</v>
      </c>
      <c r="I307" s="1">
        <v>141400</v>
      </c>
      <c r="J307" t="s">
        <v>161</v>
      </c>
      <c r="K307" s="2">
        <v>0.45348379629629632</v>
      </c>
      <c r="L307">
        <v>761427</v>
      </c>
      <c r="M307">
        <v>363</v>
      </c>
      <c r="N307" t="s">
        <v>142</v>
      </c>
      <c r="O307">
        <v>363</v>
      </c>
      <c r="P307">
        <f t="shared" si="8"/>
        <v>42</v>
      </c>
      <c r="Q307">
        <f t="shared" si="9"/>
        <v>0</v>
      </c>
    </row>
    <row r="308" spans="2:17" x14ac:dyDescent="0.25">
      <c r="B308">
        <v>2383</v>
      </c>
      <c r="C308" t="s">
        <v>175</v>
      </c>
      <c r="D308" t="s">
        <v>45</v>
      </c>
      <c r="E308">
        <v>6153</v>
      </c>
      <c r="F308">
        <v>2</v>
      </c>
      <c r="G308">
        <v>70.7</v>
      </c>
      <c r="H308" t="s">
        <v>46</v>
      </c>
      <c r="I308" s="1">
        <v>141400</v>
      </c>
      <c r="J308" t="s">
        <v>161</v>
      </c>
      <c r="K308" s="2">
        <v>0.45354166666666668</v>
      </c>
      <c r="L308">
        <v>761960</v>
      </c>
      <c r="M308">
        <v>363</v>
      </c>
      <c r="N308" t="s">
        <v>142</v>
      </c>
      <c r="O308">
        <v>363</v>
      </c>
      <c r="P308">
        <f t="shared" si="8"/>
        <v>42</v>
      </c>
      <c r="Q308">
        <f t="shared" si="9"/>
        <v>0</v>
      </c>
    </row>
    <row r="309" spans="2:17" x14ac:dyDescent="0.25">
      <c r="B309">
        <v>2395</v>
      </c>
      <c r="C309" t="s">
        <v>176</v>
      </c>
      <c r="D309" t="s">
        <v>45</v>
      </c>
      <c r="E309">
        <v>6153</v>
      </c>
      <c r="F309">
        <v>1</v>
      </c>
      <c r="G309">
        <v>69.8</v>
      </c>
      <c r="H309" t="s">
        <v>46</v>
      </c>
      <c r="I309" s="1">
        <v>69800</v>
      </c>
      <c r="J309" t="s">
        <v>161</v>
      </c>
      <c r="K309" s="2">
        <v>0.45627314814814812</v>
      </c>
      <c r="L309">
        <v>781071</v>
      </c>
      <c r="M309">
        <v>363</v>
      </c>
      <c r="N309" t="s">
        <v>142</v>
      </c>
      <c r="O309">
        <v>363</v>
      </c>
      <c r="P309">
        <f t="shared" si="8"/>
        <v>42</v>
      </c>
      <c r="Q309">
        <f t="shared" si="9"/>
        <v>0</v>
      </c>
    </row>
    <row r="310" spans="2:17" x14ac:dyDescent="0.25">
      <c r="B310">
        <v>2396</v>
      </c>
      <c r="C310" t="s">
        <v>176</v>
      </c>
      <c r="D310" t="s">
        <v>45</v>
      </c>
      <c r="E310">
        <v>6153</v>
      </c>
      <c r="F310">
        <v>2</v>
      </c>
      <c r="G310">
        <v>69.8</v>
      </c>
      <c r="H310" t="s">
        <v>46</v>
      </c>
      <c r="I310" s="1">
        <v>139600</v>
      </c>
      <c r="J310" t="s">
        <v>161</v>
      </c>
      <c r="K310" s="2">
        <v>0.45627314814814812</v>
      </c>
      <c r="L310">
        <v>781072</v>
      </c>
      <c r="M310">
        <v>363</v>
      </c>
      <c r="N310" t="s">
        <v>142</v>
      </c>
      <c r="O310">
        <v>363</v>
      </c>
      <c r="P310">
        <f t="shared" si="8"/>
        <v>42</v>
      </c>
      <c r="Q310">
        <f t="shared" si="9"/>
        <v>0</v>
      </c>
    </row>
    <row r="311" spans="2:17" x14ac:dyDescent="0.25">
      <c r="B311">
        <v>2397</v>
      </c>
      <c r="C311" t="s">
        <v>176</v>
      </c>
      <c r="D311" t="s">
        <v>45</v>
      </c>
      <c r="E311">
        <v>6153</v>
      </c>
      <c r="F311">
        <v>2</v>
      </c>
      <c r="G311">
        <v>69.8</v>
      </c>
      <c r="H311" t="s">
        <v>46</v>
      </c>
      <c r="I311" s="1">
        <v>139600</v>
      </c>
      <c r="J311" t="s">
        <v>161</v>
      </c>
      <c r="K311" s="2">
        <v>0.45627314814814812</v>
      </c>
      <c r="L311">
        <v>781073</v>
      </c>
      <c r="M311">
        <v>363</v>
      </c>
      <c r="N311" t="s">
        <v>142</v>
      </c>
      <c r="O311">
        <v>363</v>
      </c>
      <c r="P311">
        <f t="shared" si="8"/>
        <v>42</v>
      </c>
      <c r="Q311">
        <f t="shared" si="9"/>
        <v>0</v>
      </c>
    </row>
    <row r="312" spans="2:17" x14ac:dyDescent="0.25">
      <c r="B312" t="s">
        <v>51</v>
      </c>
      <c r="P312">
        <f t="shared" si="8"/>
        <v>0</v>
      </c>
      <c r="Q312">
        <f t="shared" si="9"/>
        <v>0</v>
      </c>
    </row>
    <row r="313" spans="2:17" x14ac:dyDescent="0.25">
      <c r="B313">
        <v>2398</v>
      </c>
      <c r="C313" t="s">
        <v>177</v>
      </c>
      <c r="D313" t="s">
        <v>45</v>
      </c>
      <c r="E313">
        <v>6153</v>
      </c>
      <c r="F313">
        <v>1</v>
      </c>
      <c r="G313">
        <v>69.900000000000006</v>
      </c>
      <c r="H313" t="s">
        <v>46</v>
      </c>
      <c r="I313" s="1">
        <v>69900</v>
      </c>
      <c r="J313" t="s">
        <v>161</v>
      </c>
      <c r="K313" s="2">
        <v>0.45633101851851854</v>
      </c>
      <c r="L313">
        <v>781492</v>
      </c>
      <c r="M313">
        <v>363</v>
      </c>
      <c r="N313" t="s">
        <v>142</v>
      </c>
      <c r="O313">
        <v>363</v>
      </c>
      <c r="P313">
        <f t="shared" si="8"/>
        <v>42</v>
      </c>
      <c r="Q313">
        <f t="shared" si="9"/>
        <v>0</v>
      </c>
    </row>
    <row r="314" spans="2:17" x14ac:dyDescent="0.25">
      <c r="B314">
        <v>2399</v>
      </c>
      <c r="C314" t="s">
        <v>177</v>
      </c>
      <c r="D314" t="s">
        <v>45</v>
      </c>
      <c r="E314">
        <v>6153</v>
      </c>
      <c r="F314">
        <v>2</v>
      </c>
      <c r="G314">
        <v>69.900000000000006</v>
      </c>
      <c r="H314" t="s">
        <v>46</v>
      </c>
      <c r="I314" s="1">
        <v>139800</v>
      </c>
      <c r="J314" t="s">
        <v>161</v>
      </c>
      <c r="K314" s="2">
        <v>0.45633101851851854</v>
      </c>
      <c r="L314">
        <v>781493</v>
      </c>
      <c r="M314">
        <v>363</v>
      </c>
      <c r="N314" t="s">
        <v>142</v>
      </c>
      <c r="O314">
        <v>363</v>
      </c>
      <c r="P314">
        <f t="shared" si="8"/>
        <v>42</v>
      </c>
      <c r="Q314">
        <f t="shared" si="9"/>
        <v>0</v>
      </c>
    </row>
    <row r="315" spans="2:17" x14ac:dyDescent="0.25">
      <c r="B315">
        <v>2400</v>
      </c>
      <c r="C315" t="s">
        <v>177</v>
      </c>
      <c r="D315" t="s">
        <v>45</v>
      </c>
      <c r="E315">
        <v>6153</v>
      </c>
      <c r="F315">
        <v>1</v>
      </c>
      <c r="G315">
        <v>69.900000000000006</v>
      </c>
      <c r="H315" t="s">
        <v>46</v>
      </c>
      <c r="I315" s="1">
        <v>69900</v>
      </c>
      <c r="J315" t="s">
        <v>161</v>
      </c>
      <c r="K315" s="2">
        <v>0.45633101851851854</v>
      </c>
      <c r="L315">
        <v>781494</v>
      </c>
      <c r="M315">
        <v>363</v>
      </c>
      <c r="N315" t="s">
        <v>142</v>
      </c>
      <c r="O315">
        <v>363</v>
      </c>
      <c r="P315">
        <f t="shared" si="8"/>
        <v>42</v>
      </c>
      <c r="Q315">
        <f t="shared" si="9"/>
        <v>0</v>
      </c>
    </row>
    <row r="316" spans="2:17" x14ac:dyDescent="0.25">
      <c r="B316">
        <v>2401</v>
      </c>
      <c r="C316" t="s">
        <v>177</v>
      </c>
      <c r="D316" t="s">
        <v>45</v>
      </c>
      <c r="E316">
        <v>6153</v>
      </c>
      <c r="F316">
        <v>1</v>
      </c>
      <c r="G316">
        <v>69.900000000000006</v>
      </c>
      <c r="H316" t="s">
        <v>46</v>
      </c>
      <c r="I316" s="1">
        <v>69900</v>
      </c>
      <c r="J316" t="s">
        <v>161</v>
      </c>
      <c r="K316" s="2">
        <v>0.45633101851851854</v>
      </c>
      <c r="L316">
        <v>781495</v>
      </c>
      <c r="M316">
        <v>363</v>
      </c>
      <c r="N316" t="s">
        <v>142</v>
      </c>
      <c r="O316">
        <v>363</v>
      </c>
      <c r="P316">
        <f t="shared" si="8"/>
        <v>42</v>
      </c>
      <c r="Q316">
        <f t="shared" si="9"/>
        <v>0</v>
      </c>
    </row>
    <row r="317" spans="2:17" x14ac:dyDescent="0.25">
      <c r="B317">
        <v>2425</v>
      </c>
      <c r="C317" t="s">
        <v>178</v>
      </c>
      <c r="D317" t="s">
        <v>45</v>
      </c>
      <c r="E317">
        <v>8163</v>
      </c>
      <c r="F317">
        <v>1</v>
      </c>
      <c r="G317">
        <v>80.8</v>
      </c>
      <c r="H317" t="s">
        <v>46</v>
      </c>
      <c r="I317" s="1">
        <v>80800</v>
      </c>
      <c r="J317" s="2">
        <v>0.45773148148148146</v>
      </c>
      <c r="K317">
        <v>789570</v>
      </c>
      <c r="L317">
        <v>361</v>
      </c>
      <c r="M317" t="s">
        <v>142</v>
      </c>
      <c r="N317">
        <v>361</v>
      </c>
      <c r="O317" t="s">
        <v>143</v>
      </c>
      <c r="P317">
        <f t="shared" si="8"/>
        <v>18</v>
      </c>
      <c r="Q317">
        <f t="shared" si="9"/>
        <v>20</v>
      </c>
    </row>
    <row r="318" spans="2:17" x14ac:dyDescent="0.25">
      <c r="B318" t="s">
        <v>51</v>
      </c>
      <c r="P318">
        <f t="shared" si="8"/>
        <v>0</v>
      </c>
      <c r="Q318">
        <f t="shared" si="9"/>
        <v>0</v>
      </c>
    </row>
    <row r="319" spans="2:17" x14ac:dyDescent="0.25">
      <c r="B319">
        <v>2426</v>
      </c>
      <c r="C319" t="s">
        <v>178</v>
      </c>
      <c r="D319" t="s">
        <v>45</v>
      </c>
      <c r="E319">
        <v>8163</v>
      </c>
      <c r="F319">
        <v>1</v>
      </c>
      <c r="G319">
        <v>80.8</v>
      </c>
      <c r="H319" t="s">
        <v>46</v>
      </c>
      <c r="I319" s="1">
        <v>80800</v>
      </c>
      <c r="J319" s="2">
        <v>0.45773148148148146</v>
      </c>
      <c r="K319">
        <v>789571</v>
      </c>
      <c r="L319">
        <v>361</v>
      </c>
      <c r="M319" t="s">
        <v>142</v>
      </c>
      <c r="N319">
        <v>361</v>
      </c>
      <c r="O319" t="s">
        <v>143</v>
      </c>
      <c r="P319">
        <f t="shared" si="8"/>
        <v>18</v>
      </c>
      <c r="Q319">
        <f t="shared" si="9"/>
        <v>20</v>
      </c>
    </row>
    <row r="320" spans="2:17" x14ac:dyDescent="0.25">
      <c r="B320">
        <v>2480</v>
      </c>
      <c r="C320" t="s">
        <v>179</v>
      </c>
      <c r="D320" t="s">
        <v>45</v>
      </c>
      <c r="E320">
        <v>8163</v>
      </c>
      <c r="F320">
        <v>2</v>
      </c>
      <c r="G320">
        <v>80.900000000000006</v>
      </c>
      <c r="H320" t="s">
        <v>46</v>
      </c>
      <c r="I320" s="1">
        <v>161800</v>
      </c>
      <c r="J320" s="2">
        <v>0.45785879629629633</v>
      </c>
      <c r="K320">
        <v>790296</v>
      </c>
      <c r="L320">
        <v>361</v>
      </c>
      <c r="M320" t="s">
        <v>142</v>
      </c>
      <c r="N320">
        <v>361</v>
      </c>
      <c r="O320" t="s">
        <v>143</v>
      </c>
      <c r="P320">
        <f t="shared" si="8"/>
        <v>18</v>
      </c>
      <c r="Q320">
        <f t="shared" si="9"/>
        <v>20</v>
      </c>
    </row>
    <row r="321" spans="2:17" x14ac:dyDescent="0.25">
      <c r="B321">
        <v>2483</v>
      </c>
      <c r="C321" t="s">
        <v>180</v>
      </c>
      <c r="D321" t="s">
        <v>45</v>
      </c>
      <c r="E321">
        <v>8163</v>
      </c>
      <c r="F321">
        <v>1</v>
      </c>
      <c r="G321">
        <v>81.099999999999994</v>
      </c>
      <c r="H321" t="s">
        <v>46</v>
      </c>
      <c r="I321" s="1">
        <v>81100</v>
      </c>
      <c r="J321" s="2">
        <v>0.45814814814814814</v>
      </c>
      <c r="K321">
        <v>792044</v>
      </c>
      <c r="L321">
        <v>361</v>
      </c>
      <c r="M321" t="s">
        <v>142</v>
      </c>
      <c r="N321">
        <v>361</v>
      </c>
      <c r="O321" t="s">
        <v>143</v>
      </c>
      <c r="P321">
        <f t="shared" si="8"/>
        <v>18</v>
      </c>
      <c r="Q321">
        <f t="shared" si="9"/>
        <v>20</v>
      </c>
    </row>
    <row r="322" spans="2:17" x14ac:dyDescent="0.25">
      <c r="B322">
        <v>2484</v>
      </c>
      <c r="C322" t="s">
        <v>180</v>
      </c>
      <c r="D322" t="s">
        <v>45</v>
      </c>
      <c r="E322">
        <v>8163</v>
      </c>
      <c r="F322">
        <v>1</v>
      </c>
      <c r="G322">
        <v>81.099999999999994</v>
      </c>
      <c r="H322" t="s">
        <v>46</v>
      </c>
      <c r="I322" s="1">
        <v>81100</v>
      </c>
      <c r="J322" s="2">
        <v>0.45814814814814814</v>
      </c>
      <c r="K322">
        <v>792045</v>
      </c>
      <c r="L322">
        <v>361</v>
      </c>
      <c r="M322" t="s">
        <v>142</v>
      </c>
      <c r="N322">
        <v>361</v>
      </c>
      <c r="O322" t="s">
        <v>143</v>
      </c>
      <c r="P322">
        <f t="shared" si="8"/>
        <v>18</v>
      </c>
      <c r="Q322">
        <f t="shared" si="9"/>
        <v>20</v>
      </c>
    </row>
    <row r="323" spans="2:17" x14ac:dyDescent="0.25">
      <c r="B323">
        <v>2486</v>
      </c>
      <c r="C323" t="s">
        <v>181</v>
      </c>
      <c r="D323" t="s">
        <v>45</v>
      </c>
      <c r="E323">
        <v>8163</v>
      </c>
      <c r="F323">
        <v>1</v>
      </c>
      <c r="G323">
        <v>81.2</v>
      </c>
      <c r="H323" t="s">
        <v>46</v>
      </c>
      <c r="I323" s="1">
        <v>81200</v>
      </c>
      <c r="J323" s="2">
        <v>0.45820601851851855</v>
      </c>
      <c r="K323">
        <v>792414</v>
      </c>
      <c r="L323">
        <v>361</v>
      </c>
      <c r="M323" t="s">
        <v>142</v>
      </c>
      <c r="N323">
        <v>361</v>
      </c>
      <c r="O323" t="s">
        <v>143</v>
      </c>
      <c r="P323">
        <f t="shared" si="8"/>
        <v>18</v>
      </c>
      <c r="Q323">
        <f t="shared" si="9"/>
        <v>20</v>
      </c>
    </row>
    <row r="324" spans="2:17" x14ac:dyDescent="0.25">
      <c r="B324" t="s">
        <v>51</v>
      </c>
      <c r="P324">
        <f t="shared" si="8"/>
        <v>0</v>
      </c>
      <c r="Q324">
        <f t="shared" si="9"/>
        <v>0</v>
      </c>
    </row>
    <row r="325" spans="2:17" x14ac:dyDescent="0.25">
      <c r="B325">
        <v>2487</v>
      </c>
      <c r="C325" t="s">
        <v>181</v>
      </c>
      <c r="D325" t="s">
        <v>45</v>
      </c>
      <c r="E325">
        <v>8163</v>
      </c>
      <c r="F325">
        <v>1</v>
      </c>
      <c r="G325">
        <v>81.2</v>
      </c>
      <c r="H325" t="s">
        <v>46</v>
      </c>
      <c r="I325" s="1">
        <v>81200</v>
      </c>
      <c r="J325" s="2">
        <v>0.45820601851851855</v>
      </c>
      <c r="K325">
        <v>792415</v>
      </c>
      <c r="L325">
        <v>361</v>
      </c>
      <c r="M325" t="s">
        <v>142</v>
      </c>
      <c r="N325">
        <v>361</v>
      </c>
      <c r="O325" t="s">
        <v>143</v>
      </c>
      <c r="P325">
        <f t="shared" si="8"/>
        <v>18</v>
      </c>
      <c r="Q325">
        <f t="shared" si="9"/>
        <v>20</v>
      </c>
    </row>
    <row r="326" spans="2:17" x14ac:dyDescent="0.25">
      <c r="B326">
        <v>2498</v>
      </c>
      <c r="C326" t="s">
        <v>182</v>
      </c>
      <c r="D326" t="s">
        <v>45</v>
      </c>
      <c r="E326">
        <v>8163</v>
      </c>
      <c r="F326">
        <v>2</v>
      </c>
      <c r="G326">
        <v>81.400000000000006</v>
      </c>
      <c r="H326" t="s">
        <v>46</v>
      </c>
      <c r="I326" s="1">
        <v>162800</v>
      </c>
      <c r="J326" s="2">
        <v>0.4584375</v>
      </c>
      <c r="K326">
        <v>794329</v>
      </c>
      <c r="L326">
        <v>361</v>
      </c>
      <c r="M326" t="s">
        <v>142</v>
      </c>
      <c r="N326">
        <v>361</v>
      </c>
      <c r="O326" t="s">
        <v>143</v>
      </c>
      <c r="P326">
        <f t="shared" si="8"/>
        <v>18</v>
      </c>
      <c r="Q326">
        <f t="shared" si="9"/>
        <v>20</v>
      </c>
    </row>
    <row r="327" spans="2:17" x14ac:dyDescent="0.25">
      <c r="B327">
        <v>2512</v>
      </c>
      <c r="C327" t="s">
        <v>183</v>
      </c>
      <c r="D327" t="s">
        <v>45</v>
      </c>
      <c r="E327">
        <v>6153</v>
      </c>
      <c r="F327">
        <v>1</v>
      </c>
      <c r="G327">
        <v>69.8</v>
      </c>
      <c r="H327" t="s">
        <v>46</v>
      </c>
      <c r="I327" s="1">
        <v>69800</v>
      </c>
      <c r="J327" t="s">
        <v>161</v>
      </c>
      <c r="K327" s="2">
        <v>0.46075231481481477</v>
      </c>
      <c r="L327">
        <v>805725</v>
      </c>
      <c r="M327">
        <v>363</v>
      </c>
      <c r="N327" t="s">
        <v>142</v>
      </c>
      <c r="O327">
        <v>363</v>
      </c>
      <c r="P327">
        <f t="shared" si="8"/>
        <v>42</v>
      </c>
      <c r="Q327">
        <f t="shared" si="9"/>
        <v>0</v>
      </c>
    </row>
    <row r="328" spans="2:17" x14ac:dyDescent="0.25">
      <c r="B328">
        <v>2513</v>
      </c>
      <c r="C328" t="s">
        <v>183</v>
      </c>
      <c r="D328" t="s">
        <v>45</v>
      </c>
      <c r="E328">
        <v>6153</v>
      </c>
      <c r="F328">
        <v>1</v>
      </c>
      <c r="G328">
        <v>69.8</v>
      </c>
      <c r="H328" t="s">
        <v>46</v>
      </c>
      <c r="I328" s="1">
        <v>69800</v>
      </c>
      <c r="J328" t="s">
        <v>161</v>
      </c>
      <c r="K328" s="2">
        <v>0.46075231481481477</v>
      </c>
      <c r="L328">
        <v>805726</v>
      </c>
      <c r="M328">
        <v>363</v>
      </c>
      <c r="N328" t="s">
        <v>142</v>
      </c>
      <c r="O328">
        <v>363</v>
      </c>
      <c r="P328">
        <f t="shared" ref="P328:P391" si="10">SUMIFS($F$7:$F$843,$E$7:$E$843,E328,$H$7:$H$843,"S")</f>
        <v>42</v>
      </c>
      <c r="Q328">
        <f t="shared" ref="Q328:Q391" si="11">SUMIFS($F$7:$F$843,$E$7:$E$843,E328,$H$7:$H$843,"b")</f>
        <v>0</v>
      </c>
    </row>
    <row r="329" spans="2:17" x14ac:dyDescent="0.25">
      <c r="B329">
        <v>2514</v>
      </c>
      <c r="C329" t="s">
        <v>184</v>
      </c>
      <c r="D329" t="s">
        <v>45</v>
      </c>
      <c r="E329">
        <v>6153</v>
      </c>
      <c r="F329">
        <v>1</v>
      </c>
      <c r="G329">
        <v>69.8</v>
      </c>
      <c r="H329" t="s">
        <v>46</v>
      </c>
      <c r="I329" s="1">
        <v>69800</v>
      </c>
      <c r="J329" t="s">
        <v>161</v>
      </c>
      <c r="K329" s="2">
        <v>0.46081018518518518</v>
      </c>
      <c r="L329">
        <v>805993</v>
      </c>
      <c r="M329">
        <v>363</v>
      </c>
      <c r="N329" t="s">
        <v>142</v>
      </c>
      <c r="O329">
        <v>363</v>
      </c>
      <c r="P329">
        <f t="shared" si="10"/>
        <v>42</v>
      </c>
      <c r="Q329">
        <f t="shared" si="11"/>
        <v>0</v>
      </c>
    </row>
    <row r="330" spans="2:17" x14ac:dyDescent="0.25">
      <c r="B330" t="s">
        <v>51</v>
      </c>
      <c r="P330">
        <f t="shared" si="10"/>
        <v>0</v>
      </c>
      <c r="Q330">
        <f t="shared" si="11"/>
        <v>0</v>
      </c>
    </row>
    <row r="331" spans="2:17" x14ac:dyDescent="0.25">
      <c r="B331">
        <v>2515</v>
      </c>
      <c r="C331" t="s">
        <v>184</v>
      </c>
      <c r="D331" t="s">
        <v>45</v>
      </c>
      <c r="E331">
        <v>6153</v>
      </c>
      <c r="F331">
        <v>1</v>
      </c>
      <c r="G331">
        <v>69.8</v>
      </c>
      <c r="H331" t="s">
        <v>46</v>
      </c>
      <c r="I331" s="1">
        <v>69800</v>
      </c>
      <c r="J331" t="s">
        <v>161</v>
      </c>
      <c r="K331" s="2">
        <v>0.46081018518518518</v>
      </c>
      <c r="L331">
        <v>805994</v>
      </c>
      <c r="M331">
        <v>363</v>
      </c>
      <c r="N331" t="s">
        <v>142</v>
      </c>
      <c r="O331">
        <v>363</v>
      </c>
      <c r="P331">
        <f t="shared" si="10"/>
        <v>42</v>
      </c>
      <c r="Q331">
        <f t="shared" si="11"/>
        <v>0</v>
      </c>
    </row>
    <row r="332" spans="2:17" x14ac:dyDescent="0.25">
      <c r="B332">
        <v>2795</v>
      </c>
      <c r="C332" t="s">
        <v>185</v>
      </c>
      <c r="D332" t="s">
        <v>45</v>
      </c>
      <c r="E332">
        <v>8163</v>
      </c>
      <c r="F332">
        <v>1</v>
      </c>
      <c r="G332">
        <v>83.4</v>
      </c>
      <c r="H332" t="s">
        <v>49</v>
      </c>
      <c r="I332" s="1">
        <v>83400</v>
      </c>
      <c r="J332" s="2">
        <v>0.47598379629629628</v>
      </c>
      <c r="K332">
        <v>881079</v>
      </c>
      <c r="L332">
        <v>361</v>
      </c>
      <c r="M332" t="s">
        <v>142</v>
      </c>
      <c r="N332">
        <v>361</v>
      </c>
      <c r="O332" t="s">
        <v>143</v>
      </c>
      <c r="P332">
        <f t="shared" si="10"/>
        <v>18</v>
      </c>
      <c r="Q332">
        <f t="shared" si="11"/>
        <v>20</v>
      </c>
    </row>
    <row r="333" spans="2:17" x14ac:dyDescent="0.25">
      <c r="B333">
        <v>2796</v>
      </c>
      <c r="C333" t="s">
        <v>185</v>
      </c>
      <c r="D333" t="s">
        <v>45</v>
      </c>
      <c r="E333">
        <v>8163</v>
      </c>
      <c r="F333">
        <v>1</v>
      </c>
      <c r="G333">
        <v>83.4</v>
      </c>
      <c r="H333" t="s">
        <v>49</v>
      </c>
      <c r="I333" s="1">
        <v>83400</v>
      </c>
      <c r="J333" s="2">
        <v>0.47598379629629628</v>
      </c>
      <c r="K333">
        <v>881080</v>
      </c>
      <c r="L333">
        <v>361</v>
      </c>
      <c r="M333" t="s">
        <v>142</v>
      </c>
      <c r="N333">
        <v>361</v>
      </c>
      <c r="O333" t="s">
        <v>143</v>
      </c>
      <c r="P333">
        <f t="shared" si="10"/>
        <v>18</v>
      </c>
      <c r="Q333">
        <f t="shared" si="11"/>
        <v>20</v>
      </c>
    </row>
    <row r="334" spans="2:17" x14ac:dyDescent="0.25">
      <c r="B334">
        <v>2797</v>
      </c>
      <c r="C334" t="s">
        <v>186</v>
      </c>
      <c r="D334" t="s">
        <v>45</v>
      </c>
      <c r="E334">
        <v>8163</v>
      </c>
      <c r="F334">
        <v>1</v>
      </c>
      <c r="G334">
        <v>83.4</v>
      </c>
      <c r="H334" t="s">
        <v>49</v>
      </c>
      <c r="I334" s="1">
        <v>83400</v>
      </c>
      <c r="J334" s="2">
        <v>0.4761111111111111</v>
      </c>
      <c r="K334">
        <v>881774</v>
      </c>
      <c r="L334">
        <v>361</v>
      </c>
      <c r="M334" t="s">
        <v>142</v>
      </c>
      <c r="N334">
        <v>361</v>
      </c>
      <c r="O334" t="s">
        <v>143</v>
      </c>
      <c r="P334">
        <f t="shared" si="10"/>
        <v>18</v>
      </c>
      <c r="Q334">
        <f t="shared" si="11"/>
        <v>20</v>
      </c>
    </row>
    <row r="335" spans="2:17" x14ac:dyDescent="0.25">
      <c r="B335">
        <v>2798</v>
      </c>
      <c r="C335" t="s">
        <v>186</v>
      </c>
      <c r="D335" t="s">
        <v>45</v>
      </c>
      <c r="E335">
        <v>8163</v>
      </c>
      <c r="F335">
        <v>1</v>
      </c>
      <c r="G335">
        <v>83.4</v>
      </c>
      <c r="H335" t="s">
        <v>49</v>
      </c>
      <c r="I335" s="1">
        <v>83400</v>
      </c>
      <c r="J335" s="2">
        <v>0.4761111111111111</v>
      </c>
      <c r="K335">
        <v>881775</v>
      </c>
      <c r="L335">
        <v>361</v>
      </c>
      <c r="M335" t="s">
        <v>142</v>
      </c>
      <c r="N335">
        <v>361</v>
      </c>
      <c r="O335" t="s">
        <v>143</v>
      </c>
      <c r="P335">
        <f t="shared" si="10"/>
        <v>18</v>
      </c>
      <c r="Q335">
        <f t="shared" si="11"/>
        <v>20</v>
      </c>
    </row>
    <row r="336" spans="2:17" x14ac:dyDescent="0.25">
      <c r="B336" t="s">
        <v>53</v>
      </c>
      <c r="P336">
        <f t="shared" si="10"/>
        <v>0</v>
      </c>
      <c r="Q336">
        <f t="shared" si="11"/>
        <v>0</v>
      </c>
    </row>
    <row r="337" spans="1:20" x14ac:dyDescent="0.25">
      <c r="A337" t="s">
        <v>54</v>
      </c>
      <c r="P337">
        <f t="shared" si="10"/>
        <v>0</v>
      </c>
      <c r="Q337">
        <f t="shared" si="11"/>
        <v>0</v>
      </c>
    </row>
    <row r="338" spans="1:20" x14ac:dyDescent="0.25">
      <c r="B338" t="s">
        <v>1</v>
      </c>
      <c r="C338" t="s">
        <v>2</v>
      </c>
      <c r="D338" t="s">
        <v>3</v>
      </c>
      <c r="E338" t="s">
        <v>4</v>
      </c>
      <c r="F338" t="s">
        <v>5</v>
      </c>
      <c r="G338" t="s">
        <v>6</v>
      </c>
      <c r="H338" t="s">
        <v>2</v>
      </c>
      <c r="I338">
        <v>8</v>
      </c>
      <c r="P338">
        <f t="shared" si="10"/>
        <v>0</v>
      </c>
      <c r="Q338">
        <f t="shared" si="11"/>
        <v>0</v>
      </c>
    </row>
    <row r="339" spans="1:20" x14ac:dyDescent="0.25">
      <c r="B339" t="s">
        <v>7</v>
      </c>
      <c r="C339" t="s">
        <v>2</v>
      </c>
      <c r="D339">
        <v>20180612</v>
      </c>
      <c r="E339" t="s">
        <v>8</v>
      </c>
      <c r="F339" t="s">
        <v>9</v>
      </c>
      <c r="G339" t="s">
        <v>10</v>
      </c>
      <c r="H339" t="s">
        <v>11</v>
      </c>
      <c r="I339" t="s">
        <v>12</v>
      </c>
      <c r="J339" t="s">
        <v>13</v>
      </c>
      <c r="K339" t="s">
        <v>14</v>
      </c>
      <c r="L339" t="s">
        <v>15</v>
      </c>
      <c r="M339" t="s">
        <v>16</v>
      </c>
      <c r="N339" t="s">
        <v>17</v>
      </c>
      <c r="O339" t="s">
        <v>18</v>
      </c>
      <c r="P339">
        <f t="shared" si="10"/>
        <v>0</v>
      </c>
      <c r="Q339">
        <f t="shared" si="11"/>
        <v>0</v>
      </c>
      <c r="R339" t="s">
        <v>19</v>
      </c>
      <c r="S339" t="s">
        <v>20</v>
      </c>
    </row>
    <row r="340" spans="1:20" x14ac:dyDescent="0.25">
      <c r="P340">
        <f t="shared" si="10"/>
        <v>0</v>
      </c>
      <c r="Q340">
        <f t="shared" si="11"/>
        <v>0</v>
      </c>
    </row>
    <row r="341" spans="1:20" x14ac:dyDescent="0.25">
      <c r="B341" t="s">
        <v>21</v>
      </c>
      <c r="C341" t="s">
        <v>22</v>
      </c>
      <c r="D341" t="s">
        <v>23</v>
      </c>
      <c r="E341" t="s">
        <v>24</v>
      </c>
      <c r="F341" t="s">
        <v>25</v>
      </c>
      <c r="G341" t="s">
        <v>26</v>
      </c>
      <c r="H341" t="s">
        <v>27</v>
      </c>
      <c r="I341" t="s">
        <v>28</v>
      </c>
      <c r="J341" t="s">
        <v>29</v>
      </c>
      <c r="K341" t="s">
        <v>30</v>
      </c>
      <c r="L341" t="s">
        <v>31</v>
      </c>
      <c r="M341" t="s">
        <v>32</v>
      </c>
      <c r="N341" t="s">
        <v>33</v>
      </c>
      <c r="O341" t="s">
        <v>34</v>
      </c>
      <c r="P341">
        <f t="shared" si="10"/>
        <v>0</v>
      </c>
      <c r="Q341">
        <f t="shared" si="11"/>
        <v>0</v>
      </c>
      <c r="R341" t="s">
        <v>35</v>
      </c>
      <c r="S341" t="s">
        <v>36</v>
      </c>
      <c r="T341" t="s">
        <v>37</v>
      </c>
    </row>
    <row r="342" spans="1:20" x14ac:dyDescent="0.25">
      <c r="B342" t="s">
        <v>38</v>
      </c>
      <c r="C342" t="s">
        <v>39</v>
      </c>
      <c r="D342" t="s">
        <v>38</v>
      </c>
      <c r="E342" t="s">
        <v>38</v>
      </c>
      <c r="F342" t="s">
        <v>40</v>
      </c>
      <c r="G342" t="s">
        <v>38</v>
      </c>
      <c r="H342" t="s">
        <v>41</v>
      </c>
      <c r="I342" t="s">
        <v>42</v>
      </c>
      <c r="J342" t="s">
        <v>39</v>
      </c>
      <c r="K342" t="s">
        <v>38</v>
      </c>
      <c r="L342" t="s">
        <v>38</v>
      </c>
      <c r="M342" t="s">
        <v>43</v>
      </c>
      <c r="N342" t="s">
        <v>43</v>
      </c>
      <c r="O342" t="s">
        <v>44</v>
      </c>
      <c r="P342">
        <f t="shared" si="10"/>
        <v>0</v>
      </c>
      <c r="Q342">
        <f t="shared" si="11"/>
        <v>0</v>
      </c>
    </row>
    <row r="343" spans="1:20" x14ac:dyDescent="0.25">
      <c r="B343">
        <v>2823</v>
      </c>
      <c r="C343" t="s">
        <v>187</v>
      </c>
      <c r="D343" t="s">
        <v>45</v>
      </c>
      <c r="E343">
        <v>3034</v>
      </c>
      <c r="F343">
        <v>2</v>
      </c>
      <c r="G343">
        <v>142</v>
      </c>
      <c r="H343" t="s">
        <v>46</v>
      </c>
      <c r="I343" s="1">
        <v>284000</v>
      </c>
      <c r="J343" s="2">
        <v>0.4841435185185185</v>
      </c>
      <c r="K343">
        <v>919950</v>
      </c>
      <c r="L343">
        <v>361</v>
      </c>
      <c r="M343" t="s">
        <v>142</v>
      </c>
      <c r="N343">
        <v>361</v>
      </c>
      <c r="O343" t="s">
        <v>143</v>
      </c>
      <c r="P343">
        <f t="shared" si="10"/>
        <v>2</v>
      </c>
      <c r="Q343">
        <f t="shared" si="11"/>
        <v>0</v>
      </c>
    </row>
    <row r="344" spans="1:20" x14ac:dyDescent="0.25">
      <c r="B344">
        <v>2824</v>
      </c>
      <c r="C344" t="s">
        <v>188</v>
      </c>
      <c r="D344" t="s">
        <v>45</v>
      </c>
      <c r="E344">
        <v>2323</v>
      </c>
      <c r="F344">
        <v>2</v>
      </c>
      <c r="G344">
        <v>13.15</v>
      </c>
      <c r="H344" t="s">
        <v>49</v>
      </c>
      <c r="I344" s="1">
        <v>26300</v>
      </c>
      <c r="J344" s="2">
        <v>0.48521990740740745</v>
      </c>
      <c r="K344">
        <v>924520</v>
      </c>
      <c r="L344">
        <v>361</v>
      </c>
      <c r="M344" t="s">
        <v>142</v>
      </c>
      <c r="N344">
        <v>361</v>
      </c>
      <c r="O344" t="s">
        <v>143</v>
      </c>
      <c r="P344">
        <f t="shared" si="10"/>
        <v>0</v>
      </c>
      <c r="Q344">
        <f t="shared" si="11"/>
        <v>10</v>
      </c>
    </row>
    <row r="345" spans="1:20" x14ac:dyDescent="0.25">
      <c r="B345">
        <v>2830</v>
      </c>
      <c r="C345" t="s">
        <v>189</v>
      </c>
      <c r="D345" t="s">
        <v>45</v>
      </c>
      <c r="E345">
        <v>2323</v>
      </c>
      <c r="F345">
        <v>2</v>
      </c>
      <c r="G345">
        <v>13.1</v>
      </c>
      <c r="H345" t="s">
        <v>49</v>
      </c>
      <c r="I345" s="1">
        <v>26200</v>
      </c>
      <c r="J345" s="2">
        <v>0.48621527777777779</v>
      </c>
      <c r="K345">
        <v>928519</v>
      </c>
      <c r="L345">
        <v>361</v>
      </c>
      <c r="M345" t="s">
        <v>142</v>
      </c>
      <c r="N345">
        <v>361</v>
      </c>
      <c r="O345" t="s">
        <v>143</v>
      </c>
      <c r="P345">
        <f t="shared" si="10"/>
        <v>0</v>
      </c>
      <c r="Q345">
        <f t="shared" si="11"/>
        <v>10</v>
      </c>
    </row>
    <row r="346" spans="1:20" x14ac:dyDescent="0.25">
      <c r="B346">
        <v>2827</v>
      </c>
      <c r="C346" t="s">
        <v>190</v>
      </c>
      <c r="D346" t="s">
        <v>45</v>
      </c>
      <c r="E346">
        <v>2340</v>
      </c>
      <c r="F346">
        <v>1</v>
      </c>
      <c r="G346">
        <v>27.55</v>
      </c>
      <c r="H346" t="s">
        <v>49</v>
      </c>
      <c r="I346" s="1">
        <v>27550</v>
      </c>
      <c r="J346" s="2">
        <v>0.4861226851851852</v>
      </c>
      <c r="K346">
        <v>927944</v>
      </c>
      <c r="L346">
        <v>361</v>
      </c>
      <c r="M346" t="s">
        <v>142</v>
      </c>
      <c r="N346">
        <v>361</v>
      </c>
      <c r="O346" t="s">
        <v>143</v>
      </c>
      <c r="P346">
        <f t="shared" si="10"/>
        <v>2</v>
      </c>
      <c r="Q346">
        <f t="shared" si="11"/>
        <v>4</v>
      </c>
    </row>
    <row r="347" spans="1:20" x14ac:dyDescent="0.25">
      <c r="B347">
        <v>2828</v>
      </c>
      <c r="C347" t="s">
        <v>190</v>
      </c>
      <c r="D347" t="s">
        <v>45</v>
      </c>
      <c r="E347">
        <v>2340</v>
      </c>
      <c r="F347">
        <v>1</v>
      </c>
      <c r="G347">
        <v>27.55</v>
      </c>
      <c r="H347" t="s">
        <v>49</v>
      </c>
      <c r="I347" s="1">
        <v>27550</v>
      </c>
      <c r="J347" s="2">
        <v>0.4861226851851852</v>
      </c>
      <c r="K347">
        <v>927945</v>
      </c>
      <c r="L347">
        <v>361</v>
      </c>
      <c r="M347" t="s">
        <v>142</v>
      </c>
      <c r="N347">
        <v>361</v>
      </c>
      <c r="O347" t="s">
        <v>143</v>
      </c>
      <c r="P347">
        <f t="shared" si="10"/>
        <v>2</v>
      </c>
      <c r="Q347">
        <f t="shared" si="11"/>
        <v>4</v>
      </c>
    </row>
    <row r="348" spans="1:20" x14ac:dyDescent="0.25">
      <c r="B348" t="s">
        <v>51</v>
      </c>
      <c r="P348">
        <f t="shared" si="10"/>
        <v>0</v>
      </c>
      <c r="Q348">
        <f t="shared" si="11"/>
        <v>0</v>
      </c>
    </row>
    <row r="349" spans="1:20" x14ac:dyDescent="0.25">
      <c r="B349">
        <v>2829</v>
      </c>
      <c r="C349" t="s">
        <v>191</v>
      </c>
      <c r="D349" t="s">
        <v>45</v>
      </c>
      <c r="E349">
        <v>2340</v>
      </c>
      <c r="F349">
        <v>2</v>
      </c>
      <c r="G349">
        <v>27.55</v>
      </c>
      <c r="H349" t="s">
        <v>49</v>
      </c>
      <c r="I349" s="1">
        <v>55100</v>
      </c>
      <c r="J349" s="2">
        <v>0.48618055555555556</v>
      </c>
      <c r="K349">
        <v>928177</v>
      </c>
      <c r="L349">
        <v>361</v>
      </c>
      <c r="M349" t="s">
        <v>142</v>
      </c>
      <c r="N349">
        <v>361</v>
      </c>
      <c r="O349" t="s">
        <v>143</v>
      </c>
      <c r="P349">
        <f t="shared" si="10"/>
        <v>2</v>
      </c>
      <c r="Q349">
        <f t="shared" si="11"/>
        <v>4</v>
      </c>
    </row>
    <row r="350" spans="1:20" x14ac:dyDescent="0.25">
      <c r="B350">
        <v>2849</v>
      </c>
      <c r="C350" t="s">
        <v>192</v>
      </c>
      <c r="D350" t="s">
        <v>45</v>
      </c>
      <c r="E350">
        <v>8163</v>
      </c>
      <c r="F350">
        <v>2</v>
      </c>
      <c r="G350">
        <v>83</v>
      </c>
      <c r="H350" t="s">
        <v>46</v>
      </c>
      <c r="I350" s="1">
        <v>166000</v>
      </c>
      <c r="J350" s="2">
        <v>0.49361111111111106</v>
      </c>
      <c r="K350">
        <v>959446</v>
      </c>
      <c r="L350">
        <v>361</v>
      </c>
      <c r="M350" t="s">
        <v>142</v>
      </c>
      <c r="N350">
        <v>361</v>
      </c>
      <c r="O350" t="s">
        <v>143</v>
      </c>
      <c r="P350">
        <f t="shared" si="10"/>
        <v>18</v>
      </c>
      <c r="Q350">
        <f t="shared" si="11"/>
        <v>20</v>
      </c>
    </row>
    <row r="351" spans="1:20" x14ac:dyDescent="0.25">
      <c r="B351">
        <v>2870</v>
      </c>
      <c r="C351" t="s">
        <v>193</v>
      </c>
      <c r="D351" t="s">
        <v>45</v>
      </c>
      <c r="E351">
        <v>3019</v>
      </c>
      <c r="F351">
        <v>2</v>
      </c>
      <c r="G351">
        <v>112.5</v>
      </c>
      <c r="H351" t="s">
        <v>49</v>
      </c>
      <c r="I351" s="1">
        <v>225000</v>
      </c>
      <c r="J351" s="2">
        <v>0.50435185185185183</v>
      </c>
      <c r="K351">
        <v>1001328</v>
      </c>
      <c r="L351">
        <v>364</v>
      </c>
      <c r="M351" t="s">
        <v>157</v>
      </c>
      <c r="N351">
        <v>364</v>
      </c>
      <c r="O351" t="s">
        <v>143</v>
      </c>
      <c r="P351">
        <f t="shared" si="10"/>
        <v>0</v>
      </c>
      <c r="Q351">
        <f t="shared" si="11"/>
        <v>4</v>
      </c>
    </row>
    <row r="352" spans="1:20" x14ac:dyDescent="0.25">
      <c r="B352">
        <v>2871</v>
      </c>
      <c r="C352" t="s">
        <v>194</v>
      </c>
      <c r="D352" t="s">
        <v>45</v>
      </c>
      <c r="E352">
        <v>3019</v>
      </c>
      <c r="F352">
        <v>2</v>
      </c>
      <c r="G352">
        <v>112.5</v>
      </c>
      <c r="H352" t="s">
        <v>49</v>
      </c>
      <c r="I352" s="1">
        <v>225000</v>
      </c>
      <c r="J352" s="2">
        <v>0.50452546296296297</v>
      </c>
      <c r="K352">
        <v>1002087</v>
      </c>
      <c r="L352">
        <v>364</v>
      </c>
      <c r="M352" t="s">
        <v>157</v>
      </c>
      <c r="N352">
        <v>364</v>
      </c>
      <c r="O352" t="s">
        <v>143</v>
      </c>
      <c r="P352">
        <f t="shared" si="10"/>
        <v>0</v>
      </c>
      <c r="Q352">
        <f t="shared" si="11"/>
        <v>4</v>
      </c>
    </row>
    <row r="353" spans="2:17" x14ac:dyDescent="0.25">
      <c r="B353">
        <v>2877</v>
      </c>
      <c r="C353" t="s">
        <v>195</v>
      </c>
      <c r="D353" t="s">
        <v>45</v>
      </c>
      <c r="E353">
        <v>3037</v>
      </c>
      <c r="F353">
        <v>2</v>
      </c>
      <c r="G353">
        <v>17.149999999999999</v>
      </c>
      <c r="H353" t="s">
        <v>49</v>
      </c>
      <c r="I353" s="1">
        <v>34300</v>
      </c>
      <c r="J353" s="2">
        <v>0.50637731481481485</v>
      </c>
      <c r="K353">
        <v>1009341</v>
      </c>
      <c r="L353">
        <v>361</v>
      </c>
      <c r="M353" t="s">
        <v>142</v>
      </c>
      <c r="N353">
        <v>361</v>
      </c>
      <c r="O353" t="s">
        <v>143</v>
      </c>
      <c r="P353">
        <f t="shared" si="10"/>
        <v>0</v>
      </c>
      <c r="Q353">
        <f t="shared" si="11"/>
        <v>6</v>
      </c>
    </row>
    <row r="354" spans="2:17" x14ac:dyDescent="0.25">
      <c r="B354" t="s">
        <v>51</v>
      </c>
      <c r="P354">
        <f t="shared" si="10"/>
        <v>0</v>
      </c>
      <c r="Q354">
        <f t="shared" si="11"/>
        <v>0</v>
      </c>
    </row>
    <row r="355" spans="2:17" x14ac:dyDescent="0.25">
      <c r="B355">
        <v>2878</v>
      </c>
      <c r="C355" t="s">
        <v>196</v>
      </c>
      <c r="D355" t="s">
        <v>45</v>
      </c>
      <c r="E355">
        <v>3037</v>
      </c>
      <c r="F355">
        <v>2</v>
      </c>
      <c r="G355">
        <v>17.149999999999999</v>
      </c>
      <c r="H355" t="s">
        <v>49</v>
      </c>
      <c r="I355" s="1">
        <v>34300</v>
      </c>
      <c r="J355" s="2">
        <v>0.50637731481481485</v>
      </c>
      <c r="K355">
        <v>1009342</v>
      </c>
      <c r="L355">
        <v>361</v>
      </c>
      <c r="M355" t="s">
        <v>142</v>
      </c>
      <c r="N355">
        <v>361</v>
      </c>
      <c r="O355" t="s">
        <v>143</v>
      </c>
      <c r="P355">
        <f t="shared" si="10"/>
        <v>0</v>
      </c>
      <c r="Q355">
        <f t="shared" si="11"/>
        <v>6</v>
      </c>
    </row>
    <row r="356" spans="2:17" x14ac:dyDescent="0.25">
      <c r="B356">
        <v>2904</v>
      </c>
      <c r="C356" t="s">
        <v>197</v>
      </c>
      <c r="D356" t="s">
        <v>45</v>
      </c>
      <c r="E356">
        <v>8163</v>
      </c>
      <c r="F356">
        <v>2</v>
      </c>
      <c r="G356">
        <v>83</v>
      </c>
      <c r="H356" t="s">
        <v>49</v>
      </c>
      <c r="I356" s="1">
        <v>166000</v>
      </c>
      <c r="J356" s="2">
        <v>0.50971064814814815</v>
      </c>
      <c r="K356">
        <v>1021401</v>
      </c>
      <c r="L356">
        <v>361</v>
      </c>
      <c r="M356" t="s">
        <v>142</v>
      </c>
      <c r="N356">
        <v>361</v>
      </c>
      <c r="O356" t="s">
        <v>143</v>
      </c>
      <c r="P356">
        <f t="shared" si="10"/>
        <v>18</v>
      </c>
      <c r="Q356">
        <f t="shared" si="11"/>
        <v>20</v>
      </c>
    </row>
    <row r="357" spans="2:17" x14ac:dyDescent="0.25">
      <c r="B357">
        <v>2905</v>
      </c>
      <c r="C357" t="s">
        <v>198</v>
      </c>
      <c r="D357" t="s">
        <v>45</v>
      </c>
      <c r="E357">
        <v>8163</v>
      </c>
      <c r="F357">
        <v>2</v>
      </c>
      <c r="G357">
        <v>83</v>
      </c>
      <c r="H357" t="s">
        <v>49</v>
      </c>
      <c r="I357" s="1">
        <v>166000</v>
      </c>
      <c r="J357" s="2">
        <v>0.50976851851851845</v>
      </c>
      <c r="K357">
        <v>1021674</v>
      </c>
      <c r="L357">
        <v>361</v>
      </c>
      <c r="M357" t="s">
        <v>142</v>
      </c>
      <c r="N357">
        <v>361</v>
      </c>
      <c r="O357" t="s">
        <v>143</v>
      </c>
      <c r="P357">
        <f t="shared" si="10"/>
        <v>18</v>
      </c>
      <c r="Q357">
        <f t="shared" si="11"/>
        <v>20</v>
      </c>
    </row>
    <row r="358" spans="2:17" x14ac:dyDescent="0.25">
      <c r="B358">
        <v>2906</v>
      </c>
      <c r="C358" t="s">
        <v>199</v>
      </c>
      <c r="D358" t="s">
        <v>45</v>
      </c>
      <c r="E358">
        <v>8163</v>
      </c>
      <c r="F358">
        <v>1</v>
      </c>
      <c r="G358">
        <v>83</v>
      </c>
      <c r="H358" t="s">
        <v>49</v>
      </c>
      <c r="I358" s="1">
        <v>83000</v>
      </c>
      <c r="J358" s="2">
        <v>0.50982638888888887</v>
      </c>
      <c r="K358">
        <v>1021876</v>
      </c>
      <c r="L358">
        <v>361</v>
      </c>
      <c r="M358" t="s">
        <v>142</v>
      </c>
      <c r="N358">
        <v>361</v>
      </c>
      <c r="O358" t="s">
        <v>143</v>
      </c>
      <c r="P358">
        <f t="shared" si="10"/>
        <v>18</v>
      </c>
      <c r="Q358">
        <f t="shared" si="11"/>
        <v>20</v>
      </c>
    </row>
    <row r="359" spans="2:17" x14ac:dyDescent="0.25">
      <c r="B359">
        <v>2907</v>
      </c>
      <c r="C359" t="s">
        <v>199</v>
      </c>
      <c r="D359" t="s">
        <v>45</v>
      </c>
      <c r="E359">
        <v>8163</v>
      </c>
      <c r="F359">
        <v>1</v>
      </c>
      <c r="G359">
        <v>83</v>
      </c>
      <c r="H359" t="s">
        <v>49</v>
      </c>
      <c r="I359" s="1">
        <v>83000</v>
      </c>
      <c r="J359" s="2">
        <v>0.50982638888888887</v>
      </c>
      <c r="K359">
        <v>1021877</v>
      </c>
      <c r="L359">
        <v>361</v>
      </c>
      <c r="M359" t="s">
        <v>142</v>
      </c>
      <c r="N359">
        <v>361</v>
      </c>
      <c r="O359" t="s">
        <v>143</v>
      </c>
      <c r="P359">
        <f t="shared" si="10"/>
        <v>18</v>
      </c>
      <c r="Q359">
        <f t="shared" si="11"/>
        <v>20</v>
      </c>
    </row>
    <row r="360" spans="2:17" x14ac:dyDescent="0.25">
      <c r="B360" t="s">
        <v>51</v>
      </c>
      <c r="P360">
        <f t="shared" si="10"/>
        <v>0</v>
      </c>
      <c r="Q360">
        <f t="shared" si="11"/>
        <v>0</v>
      </c>
    </row>
    <row r="361" spans="2:17" x14ac:dyDescent="0.25">
      <c r="B361">
        <v>2908</v>
      </c>
      <c r="C361" t="s">
        <v>200</v>
      </c>
      <c r="D361" t="s">
        <v>45</v>
      </c>
      <c r="E361">
        <v>8163</v>
      </c>
      <c r="F361">
        <v>2</v>
      </c>
      <c r="G361">
        <v>83.2</v>
      </c>
      <c r="H361" t="s">
        <v>49</v>
      </c>
      <c r="I361" s="1">
        <v>166400</v>
      </c>
      <c r="J361" s="2">
        <v>0.51028935185185187</v>
      </c>
      <c r="K361">
        <v>1023469</v>
      </c>
      <c r="L361">
        <v>361</v>
      </c>
      <c r="M361" t="s">
        <v>142</v>
      </c>
      <c r="N361">
        <v>361</v>
      </c>
      <c r="O361" t="s">
        <v>143</v>
      </c>
      <c r="P361">
        <f t="shared" si="10"/>
        <v>18</v>
      </c>
      <c r="Q361">
        <f t="shared" si="11"/>
        <v>20</v>
      </c>
    </row>
    <row r="362" spans="2:17" x14ac:dyDescent="0.25">
      <c r="B362">
        <v>2909</v>
      </c>
      <c r="C362" t="s">
        <v>201</v>
      </c>
      <c r="D362" t="s">
        <v>45</v>
      </c>
      <c r="E362">
        <v>8163</v>
      </c>
      <c r="F362">
        <v>1</v>
      </c>
      <c r="G362">
        <v>83.3</v>
      </c>
      <c r="H362" t="s">
        <v>49</v>
      </c>
      <c r="I362" s="1">
        <v>83300</v>
      </c>
      <c r="J362" s="2">
        <v>0.51034722222222217</v>
      </c>
      <c r="K362">
        <v>1023638</v>
      </c>
      <c r="L362">
        <v>361</v>
      </c>
      <c r="M362" t="s">
        <v>142</v>
      </c>
      <c r="N362">
        <v>361</v>
      </c>
      <c r="O362" t="s">
        <v>143</v>
      </c>
      <c r="P362">
        <f t="shared" si="10"/>
        <v>18</v>
      </c>
      <c r="Q362">
        <f t="shared" si="11"/>
        <v>20</v>
      </c>
    </row>
    <row r="363" spans="2:17" x14ac:dyDescent="0.25">
      <c r="B363">
        <v>2910</v>
      </c>
      <c r="C363" t="s">
        <v>201</v>
      </c>
      <c r="D363" t="s">
        <v>45</v>
      </c>
      <c r="E363">
        <v>8163</v>
      </c>
      <c r="F363">
        <v>1</v>
      </c>
      <c r="G363">
        <v>83.3</v>
      </c>
      <c r="H363" t="s">
        <v>49</v>
      </c>
      <c r="I363" s="1">
        <v>83300</v>
      </c>
      <c r="J363" s="2">
        <v>0.51034722222222217</v>
      </c>
      <c r="K363">
        <v>1023639</v>
      </c>
      <c r="L363">
        <v>361</v>
      </c>
      <c r="M363" t="s">
        <v>142</v>
      </c>
      <c r="N363">
        <v>361</v>
      </c>
      <c r="O363" t="s">
        <v>143</v>
      </c>
      <c r="P363">
        <f t="shared" si="10"/>
        <v>18</v>
      </c>
      <c r="Q363">
        <f t="shared" si="11"/>
        <v>20</v>
      </c>
    </row>
    <row r="364" spans="2:17" x14ac:dyDescent="0.25">
      <c r="B364">
        <v>2931</v>
      </c>
      <c r="C364" t="s">
        <v>202</v>
      </c>
      <c r="D364" t="s">
        <v>45</v>
      </c>
      <c r="E364">
        <v>3037</v>
      </c>
      <c r="F364">
        <v>2</v>
      </c>
      <c r="G364">
        <v>17.149999999999999</v>
      </c>
      <c r="H364" t="s">
        <v>49</v>
      </c>
      <c r="I364" s="1">
        <v>34300</v>
      </c>
      <c r="J364" s="2">
        <v>0.51451388888888883</v>
      </c>
      <c r="K364">
        <v>1039091</v>
      </c>
      <c r="L364">
        <v>361</v>
      </c>
      <c r="M364" t="s">
        <v>142</v>
      </c>
      <c r="N364">
        <v>361</v>
      </c>
      <c r="O364" t="s">
        <v>143</v>
      </c>
      <c r="P364">
        <f t="shared" si="10"/>
        <v>0</v>
      </c>
      <c r="Q364">
        <f t="shared" si="11"/>
        <v>6</v>
      </c>
    </row>
    <row r="365" spans="2:17" x14ac:dyDescent="0.25">
      <c r="B365">
        <v>2995</v>
      </c>
      <c r="C365" t="s">
        <v>203</v>
      </c>
      <c r="D365" t="s">
        <v>45</v>
      </c>
      <c r="E365">
        <v>8163</v>
      </c>
      <c r="F365">
        <v>1</v>
      </c>
      <c r="G365">
        <v>82.2</v>
      </c>
      <c r="H365" t="s">
        <v>49</v>
      </c>
      <c r="I365" s="1">
        <v>82200</v>
      </c>
      <c r="J365" s="2">
        <v>0.52598379629629632</v>
      </c>
      <c r="K365">
        <v>1087435</v>
      </c>
      <c r="L365">
        <v>361</v>
      </c>
      <c r="M365" t="s">
        <v>142</v>
      </c>
      <c r="N365">
        <v>361</v>
      </c>
      <c r="O365" t="s">
        <v>143</v>
      </c>
      <c r="P365">
        <f t="shared" si="10"/>
        <v>18</v>
      </c>
      <c r="Q365">
        <f t="shared" si="11"/>
        <v>20</v>
      </c>
    </row>
    <row r="366" spans="2:17" x14ac:dyDescent="0.25">
      <c r="B366" t="s">
        <v>51</v>
      </c>
      <c r="P366">
        <f t="shared" si="10"/>
        <v>0</v>
      </c>
      <c r="Q366">
        <f t="shared" si="11"/>
        <v>0</v>
      </c>
    </row>
    <row r="367" spans="2:17" x14ac:dyDescent="0.25">
      <c r="B367">
        <v>2996</v>
      </c>
      <c r="C367" t="s">
        <v>203</v>
      </c>
      <c r="D367" t="s">
        <v>45</v>
      </c>
      <c r="E367">
        <v>8163</v>
      </c>
      <c r="F367">
        <v>1</v>
      </c>
      <c r="G367">
        <v>82.2</v>
      </c>
      <c r="H367" t="s">
        <v>49</v>
      </c>
      <c r="I367" s="1">
        <v>82200</v>
      </c>
      <c r="J367" s="2">
        <v>0.52598379629629632</v>
      </c>
      <c r="K367">
        <v>1087436</v>
      </c>
      <c r="L367">
        <v>361</v>
      </c>
      <c r="M367" t="s">
        <v>142</v>
      </c>
      <c r="N367">
        <v>361</v>
      </c>
      <c r="O367" t="s">
        <v>143</v>
      </c>
      <c r="P367">
        <f t="shared" si="10"/>
        <v>18</v>
      </c>
      <c r="Q367">
        <f t="shared" si="11"/>
        <v>20</v>
      </c>
    </row>
    <row r="368" spans="2:17" x14ac:dyDescent="0.25">
      <c r="B368">
        <v>3000</v>
      </c>
      <c r="C368" t="s">
        <v>204</v>
      </c>
      <c r="D368" t="s">
        <v>45</v>
      </c>
      <c r="E368">
        <v>8163</v>
      </c>
      <c r="F368">
        <v>2</v>
      </c>
      <c r="G368">
        <v>82.6</v>
      </c>
      <c r="H368" t="s">
        <v>49</v>
      </c>
      <c r="I368" s="1">
        <v>165200</v>
      </c>
      <c r="J368" s="2">
        <v>0.52785879629629628</v>
      </c>
      <c r="K368">
        <v>1096249</v>
      </c>
      <c r="L368">
        <v>361</v>
      </c>
      <c r="M368" t="s">
        <v>142</v>
      </c>
      <c r="N368">
        <v>361</v>
      </c>
      <c r="O368" t="s">
        <v>143</v>
      </c>
      <c r="P368">
        <f t="shared" si="10"/>
        <v>18</v>
      </c>
      <c r="Q368">
        <f t="shared" si="11"/>
        <v>20</v>
      </c>
    </row>
    <row r="369" spans="2:17" x14ac:dyDescent="0.25">
      <c r="B369">
        <v>3045</v>
      </c>
      <c r="C369" t="s">
        <v>205</v>
      </c>
      <c r="D369" t="s">
        <v>45</v>
      </c>
      <c r="E369">
        <v>8163</v>
      </c>
      <c r="F369">
        <v>2</v>
      </c>
      <c r="G369">
        <v>81.3</v>
      </c>
      <c r="H369" t="s">
        <v>49</v>
      </c>
      <c r="I369" s="1">
        <v>162600</v>
      </c>
      <c r="J369" s="2">
        <v>0.53861111111111104</v>
      </c>
      <c r="K369">
        <v>1150534</v>
      </c>
      <c r="L369">
        <v>361</v>
      </c>
      <c r="M369" t="s">
        <v>142</v>
      </c>
      <c r="N369">
        <v>361</v>
      </c>
      <c r="O369" t="s">
        <v>143</v>
      </c>
      <c r="P369">
        <f t="shared" si="10"/>
        <v>18</v>
      </c>
      <c r="Q369">
        <f t="shared" si="11"/>
        <v>20</v>
      </c>
    </row>
    <row r="370" spans="2:17" x14ac:dyDescent="0.25">
      <c r="B370">
        <v>3218</v>
      </c>
      <c r="C370" t="s">
        <v>206</v>
      </c>
      <c r="D370" t="s">
        <v>45</v>
      </c>
      <c r="E370">
        <v>2313</v>
      </c>
      <c r="F370">
        <v>1</v>
      </c>
      <c r="G370">
        <v>33.9</v>
      </c>
      <c r="H370" t="s">
        <v>49</v>
      </c>
      <c r="I370" s="1">
        <v>33900</v>
      </c>
      <c r="J370" s="2">
        <v>0.55542824074074071</v>
      </c>
      <c r="K370">
        <v>1260008</v>
      </c>
      <c r="L370">
        <v>361</v>
      </c>
      <c r="M370" t="s">
        <v>142</v>
      </c>
      <c r="N370">
        <v>361</v>
      </c>
      <c r="O370" t="s">
        <v>143</v>
      </c>
      <c r="P370">
        <f t="shared" si="10"/>
        <v>0</v>
      </c>
      <c r="Q370">
        <f t="shared" si="11"/>
        <v>902</v>
      </c>
    </row>
    <row r="371" spans="2:17" x14ac:dyDescent="0.25">
      <c r="B371">
        <v>3219</v>
      </c>
      <c r="C371" t="s">
        <v>206</v>
      </c>
      <c r="D371" t="s">
        <v>45</v>
      </c>
      <c r="E371">
        <v>2313</v>
      </c>
      <c r="F371">
        <v>1</v>
      </c>
      <c r="G371">
        <v>33.9</v>
      </c>
      <c r="H371" t="s">
        <v>49</v>
      </c>
      <c r="I371" s="1">
        <v>33900</v>
      </c>
      <c r="J371" s="2">
        <v>0.55548611111111112</v>
      </c>
      <c r="K371">
        <v>1260371</v>
      </c>
      <c r="L371">
        <v>361</v>
      </c>
      <c r="M371" t="s">
        <v>142</v>
      </c>
      <c r="N371">
        <v>361</v>
      </c>
      <c r="O371" t="s">
        <v>143</v>
      </c>
      <c r="P371">
        <f t="shared" si="10"/>
        <v>0</v>
      </c>
      <c r="Q371">
        <f t="shared" si="11"/>
        <v>902</v>
      </c>
    </row>
    <row r="372" spans="2:17" x14ac:dyDescent="0.25">
      <c r="B372" t="s">
        <v>51</v>
      </c>
      <c r="P372">
        <f t="shared" si="10"/>
        <v>0</v>
      </c>
      <c r="Q372">
        <f t="shared" si="11"/>
        <v>0</v>
      </c>
    </row>
    <row r="373" spans="2:17" x14ac:dyDescent="0.25">
      <c r="B373">
        <v>460</v>
      </c>
      <c r="C373" t="s">
        <v>207</v>
      </c>
      <c r="D373" t="s">
        <v>45</v>
      </c>
      <c r="E373">
        <v>2834</v>
      </c>
      <c r="F373">
        <v>1</v>
      </c>
      <c r="G373">
        <v>9.84</v>
      </c>
      <c r="H373" t="s">
        <v>46</v>
      </c>
      <c r="I373" s="1">
        <v>9840</v>
      </c>
      <c r="J373" s="2">
        <v>0.3832638888888889</v>
      </c>
      <c r="K373">
        <v>179867</v>
      </c>
      <c r="L373">
        <v>123</v>
      </c>
      <c r="M373" t="s">
        <v>47</v>
      </c>
      <c r="N373" t="s">
        <v>208</v>
      </c>
      <c r="P373">
        <f t="shared" si="10"/>
        <v>100</v>
      </c>
      <c r="Q373">
        <f t="shared" si="11"/>
        <v>0</v>
      </c>
    </row>
    <row r="374" spans="2:17" x14ac:dyDescent="0.25">
      <c r="B374">
        <v>1757</v>
      </c>
      <c r="C374" t="s">
        <v>209</v>
      </c>
      <c r="D374" t="s">
        <v>45</v>
      </c>
      <c r="E374">
        <v>288602</v>
      </c>
      <c r="F374">
        <v>2</v>
      </c>
      <c r="G374">
        <v>116.3</v>
      </c>
      <c r="H374" t="s">
        <v>49</v>
      </c>
      <c r="I374" s="1">
        <v>232600</v>
      </c>
      <c r="J374" s="2">
        <v>0.42296296296296299</v>
      </c>
      <c r="K374">
        <v>262574</v>
      </c>
      <c r="L374">
        <v>123</v>
      </c>
      <c r="M374" t="s">
        <v>47</v>
      </c>
      <c r="N374" t="s">
        <v>208</v>
      </c>
      <c r="P374">
        <f t="shared" si="10"/>
        <v>0</v>
      </c>
      <c r="Q374">
        <f t="shared" si="11"/>
        <v>15</v>
      </c>
    </row>
    <row r="375" spans="2:17" x14ac:dyDescent="0.25">
      <c r="B375">
        <v>1758</v>
      </c>
      <c r="C375" t="s">
        <v>209</v>
      </c>
      <c r="D375" t="s">
        <v>45</v>
      </c>
      <c r="E375">
        <v>288602</v>
      </c>
      <c r="F375">
        <v>2</v>
      </c>
      <c r="G375">
        <v>116.3</v>
      </c>
      <c r="H375" t="s">
        <v>49</v>
      </c>
      <c r="I375" s="1">
        <v>232600</v>
      </c>
      <c r="J375" s="2">
        <v>0.42296296296296299</v>
      </c>
      <c r="K375">
        <v>262575</v>
      </c>
      <c r="L375">
        <v>123</v>
      </c>
      <c r="M375" t="s">
        <v>47</v>
      </c>
      <c r="N375" t="s">
        <v>208</v>
      </c>
      <c r="P375">
        <f t="shared" si="10"/>
        <v>0</v>
      </c>
      <c r="Q375">
        <f t="shared" si="11"/>
        <v>15</v>
      </c>
    </row>
    <row r="376" spans="2:17" x14ac:dyDescent="0.25">
      <c r="B376">
        <v>1792</v>
      </c>
      <c r="C376" t="s">
        <v>209</v>
      </c>
      <c r="D376" t="s">
        <v>45</v>
      </c>
      <c r="E376">
        <v>288602</v>
      </c>
      <c r="F376">
        <v>1</v>
      </c>
      <c r="G376">
        <v>116.3</v>
      </c>
      <c r="H376" t="s">
        <v>49</v>
      </c>
      <c r="I376" s="1">
        <v>116300</v>
      </c>
      <c r="J376" s="2">
        <v>0.42302083333333335</v>
      </c>
      <c r="K376">
        <v>262728</v>
      </c>
      <c r="L376">
        <v>123</v>
      </c>
      <c r="M376" t="s">
        <v>47</v>
      </c>
      <c r="N376" t="s">
        <v>208</v>
      </c>
      <c r="P376">
        <f t="shared" si="10"/>
        <v>0</v>
      </c>
      <c r="Q376">
        <f t="shared" si="11"/>
        <v>15</v>
      </c>
    </row>
    <row r="377" spans="2:17" x14ac:dyDescent="0.25">
      <c r="B377">
        <v>2011</v>
      </c>
      <c r="C377" t="s">
        <v>210</v>
      </c>
      <c r="D377" t="s">
        <v>45</v>
      </c>
      <c r="E377">
        <v>3008</v>
      </c>
      <c r="F377">
        <v>1</v>
      </c>
      <c r="G377" s="1">
        <v>4500</v>
      </c>
      <c r="H377" t="s">
        <v>49</v>
      </c>
      <c r="I377" s="1">
        <v>4500000</v>
      </c>
      <c r="J377" s="2">
        <v>0.42766203703703703</v>
      </c>
      <c r="K377">
        <v>594194</v>
      </c>
      <c r="L377">
        <v>192</v>
      </c>
      <c r="M377" t="s">
        <v>50</v>
      </c>
      <c r="N377" t="s">
        <v>208</v>
      </c>
      <c r="P377">
        <f t="shared" si="10"/>
        <v>0</v>
      </c>
      <c r="Q377">
        <f t="shared" si="11"/>
        <v>5</v>
      </c>
    </row>
    <row r="378" spans="2:17" x14ac:dyDescent="0.25">
      <c r="B378" t="s">
        <v>51</v>
      </c>
      <c r="P378">
        <f t="shared" si="10"/>
        <v>0</v>
      </c>
      <c r="Q378">
        <f t="shared" si="11"/>
        <v>0</v>
      </c>
    </row>
    <row r="379" spans="2:17" x14ac:dyDescent="0.25">
      <c r="B379">
        <v>1936</v>
      </c>
      <c r="C379" t="s">
        <v>211</v>
      </c>
      <c r="D379" t="s">
        <v>45</v>
      </c>
      <c r="E379">
        <v>2834</v>
      </c>
      <c r="F379">
        <v>1</v>
      </c>
      <c r="G379">
        <v>9.73</v>
      </c>
      <c r="H379" t="s">
        <v>46</v>
      </c>
      <c r="I379" s="1">
        <v>9730</v>
      </c>
      <c r="J379" s="2">
        <v>0.42716435185185181</v>
      </c>
      <c r="K379">
        <v>589394</v>
      </c>
      <c r="L379">
        <v>123</v>
      </c>
      <c r="M379" t="s">
        <v>47</v>
      </c>
      <c r="N379" t="s">
        <v>208</v>
      </c>
      <c r="P379">
        <f t="shared" si="10"/>
        <v>100</v>
      </c>
      <c r="Q379">
        <f t="shared" si="11"/>
        <v>0</v>
      </c>
    </row>
    <row r="380" spans="2:17" x14ac:dyDescent="0.25">
      <c r="B380">
        <v>2026</v>
      </c>
      <c r="C380" t="s">
        <v>212</v>
      </c>
      <c r="D380" t="s">
        <v>45</v>
      </c>
      <c r="E380">
        <v>2834</v>
      </c>
      <c r="F380">
        <v>1</v>
      </c>
      <c r="G380">
        <v>9.74</v>
      </c>
      <c r="H380" t="s">
        <v>46</v>
      </c>
      <c r="I380" s="1">
        <v>9740</v>
      </c>
      <c r="J380" s="2">
        <v>0.42902777777777779</v>
      </c>
      <c r="K380">
        <v>606683</v>
      </c>
      <c r="L380">
        <v>123</v>
      </c>
      <c r="M380" t="s">
        <v>47</v>
      </c>
      <c r="N380" t="s">
        <v>208</v>
      </c>
      <c r="P380">
        <f t="shared" si="10"/>
        <v>100</v>
      </c>
      <c r="Q380">
        <f t="shared" si="11"/>
        <v>0</v>
      </c>
    </row>
    <row r="381" spans="2:17" x14ac:dyDescent="0.25">
      <c r="B381">
        <v>2070</v>
      </c>
      <c r="C381" t="s">
        <v>213</v>
      </c>
      <c r="D381" t="s">
        <v>45</v>
      </c>
      <c r="E381">
        <v>2834</v>
      </c>
      <c r="F381">
        <v>1</v>
      </c>
      <c r="G381">
        <v>9.75</v>
      </c>
      <c r="H381" t="s">
        <v>46</v>
      </c>
      <c r="I381" s="1">
        <v>9750</v>
      </c>
      <c r="J381" s="2">
        <v>0.43269675925925927</v>
      </c>
      <c r="K381">
        <v>634159</v>
      </c>
      <c r="L381">
        <v>123</v>
      </c>
      <c r="M381" t="s">
        <v>47</v>
      </c>
      <c r="N381" t="s">
        <v>208</v>
      </c>
      <c r="P381">
        <f t="shared" si="10"/>
        <v>100</v>
      </c>
      <c r="Q381">
        <f t="shared" si="11"/>
        <v>0</v>
      </c>
    </row>
    <row r="382" spans="2:17" x14ac:dyDescent="0.25">
      <c r="B382">
        <v>2998</v>
      </c>
      <c r="C382" t="s">
        <v>214</v>
      </c>
      <c r="D382" t="s">
        <v>45</v>
      </c>
      <c r="E382">
        <v>2834</v>
      </c>
      <c r="F382">
        <v>1</v>
      </c>
      <c r="G382">
        <v>9.77</v>
      </c>
      <c r="H382" t="s">
        <v>46</v>
      </c>
      <c r="I382" s="1">
        <v>9770</v>
      </c>
      <c r="J382" s="2">
        <v>0.49298611111111112</v>
      </c>
      <c r="K382">
        <v>956430</v>
      </c>
      <c r="L382">
        <v>123</v>
      </c>
      <c r="M382" t="s">
        <v>47</v>
      </c>
      <c r="N382" t="s">
        <v>208</v>
      </c>
      <c r="P382">
        <f t="shared" si="10"/>
        <v>100</v>
      </c>
      <c r="Q382">
        <f t="shared" si="11"/>
        <v>0</v>
      </c>
    </row>
    <row r="383" spans="2:17" x14ac:dyDescent="0.25">
      <c r="B383">
        <v>3043</v>
      </c>
      <c r="C383" t="s">
        <v>215</v>
      </c>
      <c r="D383" t="s">
        <v>45</v>
      </c>
      <c r="E383">
        <v>2834</v>
      </c>
      <c r="F383">
        <v>1</v>
      </c>
      <c r="G383">
        <v>9.76</v>
      </c>
      <c r="H383" t="s">
        <v>46</v>
      </c>
      <c r="I383" s="1">
        <v>9760</v>
      </c>
      <c r="J383" s="2">
        <v>0.50396990740740744</v>
      </c>
      <c r="K383">
        <v>999460</v>
      </c>
      <c r="L383">
        <v>123</v>
      </c>
      <c r="M383" t="s">
        <v>47</v>
      </c>
      <c r="N383" t="s">
        <v>208</v>
      </c>
      <c r="P383">
        <f t="shared" si="10"/>
        <v>100</v>
      </c>
      <c r="Q383">
        <f t="shared" si="11"/>
        <v>0</v>
      </c>
    </row>
    <row r="384" spans="2:17" x14ac:dyDescent="0.25">
      <c r="B384" t="s">
        <v>53</v>
      </c>
      <c r="P384">
        <f t="shared" si="10"/>
        <v>0</v>
      </c>
      <c r="Q384">
        <f t="shared" si="11"/>
        <v>0</v>
      </c>
    </row>
    <row r="385" spans="1:20" x14ac:dyDescent="0.25">
      <c r="A385" t="s">
        <v>54</v>
      </c>
      <c r="P385">
        <f t="shared" si="10"/>
        <v>0</v>
      </c>
      <c r="Q385">
        <f t="shared" si="11"/>
        <v>0</v>
      </c>
    </row>
    <row r="386" spans="1:20" x14ac:dyDescent="0.25">
      <c r="B386" t="s">
        <v>1</v>
      </c>
      <c r="C386" t="s">
        <v>2</v>
      </c>
      <c r="D386" t="s">
        <v>3</v>
      </c>
      <c r="E386" t="s">
        <v>4</v>
      </c>
      <c r="F386" t="s">
        <v>5</v>
      </c>
      <c r="G386" t="s">
        <v>6</v>
      </c>
      <c r="H386" t="s">
        <v>2</v>
      </c>
      <c r="I386">
        <v>9</v>
      </c>
      <c r="P386">
        <f t="shared" si="10"/>
        <v>0</v>
      </c>
      <c r="Q386">
        <f t="shared" si="11"/>
        <v>0</v>
      </c>
    </row>
    <row r="387" spans="1:20" x14ac:dyDescent="0.25">
      <c r="B387" t="s">
        <v>7</v>
      </c>
      <c r="C387" t="s">
        <v>2</v>
      </c>
      <c r="D387">
        <v>20180612</v>
      </c>
      <c r="E387" t="s">
        <v>8</v>
      </c>
      <c r="F387" t="s">
        <v>9</v>
      </c>
      <c r="G387" t="s">
        <v>10</v>
      </c>
      <c r="H387" t="s">
        <v>11</v>
      </c>
      <c r="I387" t="s">
        <v>12</v>
      </c>
      <c r="J387" t="s">
        <v>13</v>
      </c>
      <c r="K387" t="s">
        <v>14</v>
      </c>
      <c r="L387" t="s">
        <v>15</v>
      </c>
      <c r="M387" t="s">
        <v>16</v>
      </c>
      <c r="N387" t="s">
        <v>17</v>
      </c>
      <c r="O387" t="s">
        <v>18</v>
      </c>
      <c r="P387">
        <f t="shared" si="10"/>
        <v>0</v>
      </c>
      <c r="Q387">
        <f t="shared" si="11"/>
        <v>0</v>
      </c>
      <c r="R387" t="s">
        <v>19</v>
      </c>
      <c r="S387" t="s">
        <v>20</v>
      </c>
    </row>
    <row r="388" spans="1:20" x14ac:dyDescent="0.25">
      <c r="P388">
        <f t="shared" si="10"/>
        <v>0</v>
      </c>
      <c r="Q388">
        <f t="shared" si="11"/>
        <v>0</v>
      </c>
    </row>
    <row r="389" spans="1:20" x14ac:dyDescent="0.25">
      <c r="B389" t="s">
        <v>21</v>
      </c>
      <c r="C389" t="s">
        <v>22</v>
      </c>
      <c r="D389" t="s">
        <v>23</v>
      </c>
      <c r="E389" t="s">
        <v>24</v>
      </c>
      <c r="F389" t="s">
        <v>25</v>
      </c>
      <c r="G389" t="s">
        <v>26</v>
      </c>
      <c r="H389" t="s">
        <v>27</v>
      </c>
      <c r="I389" t="s">
        <v>28</v>
      </c>
      <c r="J389" t="s">
        <v>29</v>
      </c>
      <c r="K389" t="s">
        <v>30</v>
      </c>
      <c r="L389" t="s">
        <v>31</v>
      </c>
      <c r="M389" t="s">
        <v>32</v>
      </c>
      <c r="N389" t="s">
        <v>33</v>
      </c>
      <c r="O389" t="s">
        <v>34</v>
      </c>
      <c r="P389">
        <f t="shared" si="10"/>
        <v>0</v>
      </c>
      <c r="Q389">
        <f t="shared" si="11"/>
        <v>0</v>
      </c>
      <c r="R389" t="s">
        <v>35</v>
      </c>
      <c r="S389" t="s">
        <v>36</v>
      </c>
      <c r="T389" t="s">
        <v>37</v>
      </c>
    </row>
    <row r="390" spans="1:20" x14ac:dyDescent="0.25">
      <c r="B390" t="s">
        <v>38</v>
      </c>
      <c r="C390" t="s">
        <v>39</v>
      </c>
      <c r="D390" t="s">
        <v>38</v>
      </c>
      <c r="E390" t="s">
        <v>38</v>
      </c>
      <c r="F390" t="s">
        <v>40</v>
      </c>
      <c r="G390" t="s">
        <v>38</v>
      </c>
      <c r="H390" t="s">
        <v>41</v>
      </c>
      <c r="I390" t="s">
        <v>42</v>
      </c>
      <c r="J390" t="s">
        <v>39</v>
      </c>
      <c r="K390" t="s">
        <v>38</v>
      </c>
      <c r="L390" t="s">
        <v>38</v>
      </c>
      <c r="M390" t="s">
        <v>43</v>
      </c>
      <c r="N390" t="s">
        <v>43</v>
      </c>
      <c r="O390" t="s">
        <v>44</v>
      </c>
      <c r="P390">
        <f t="shared" si="10"/>
        <v>0</v>
      </c>
      <c r="Q390">
        <f t="shared" si="11"/>
        <v>0</v>
      </c>
    </row>
    <row r="391" spans="1:20" x14ac:dyDescent="0.25">
      <c r="B391">
        <v>977</v>
      </c>
      <c r="C391" t="s">
        <v>216</v>
      </c>
      <c r="D391" t="s">
        <v>45</v>
      </c>
      <c r="E391">
        <v>26095</v>
      </c>
      <c r="F391">
        <v>5</v>
      </c>
      <c r="G391">
        <v>103</v>
      </c>
      <c r="H391" t="s">
        <v>46</v>
      </c>
      <c r="I391" s="1">
        <v>515000</v>
      </c>
      <c r="J391" s="2">
        <v>0.39874999999999999</v>
      </c>
      <c r="K391">
        <v>173947</v>
      </c>
      <c r="L391">
        <v>20</v>
      </c>
      <c r="M391" t="s">
        <v>48</v>
      </c>
      <c r="N391" t="s">
        <v>208</v>
      </c>
      <c r="P391">
        <f t="shared" si="10"/>
        <v>58</v>
      </c>
      <c r="Q391">
        <f t="shared" si="11"/>
        <v>263</v>
      </c>
    </row>
    <row r="392" spans="1:20" x14ac:dyDescent="0.25">
      <c r="B392">
        <v>991</v>
      </c>
      <c r="C392" t="s">
        <v>216</v>
      </c>
      <c r="D392" t="s">
        <v>45</v>
      </c>
      <c r="E392">
        <v>26095</v>
      </c>
      <c r="F392">
        <v>5</v>
      </c>
      <c r="G392">
        <v>103</v>
      </c>
      <c r="H392" t="s">
        <v>46</v>
      </c>
      <c r="I392" s="1">
        <v>515000</v>
      </c>
      <c r="J392" s="2">
        <v>0.39909722222222221</v>
      </c>
      <c r="K392">
        <v>175414</v>
      </c>
      <c r="L392">
        <v>20</v>
      </c>
      <c r="M392" t="s">
        <v>48</v>
      </c>
      <c r="N392" t="s">
        <v>208</v>
      </c>
      <c r="P392">
        <f t="shared" ref="P392:P455" si="12">SUMIFS($F$7:$F$843,$E$7:$E$843,E392,$H$7:$H$843,"S")</f>
        <v>58</v>
      </c>
      <c r="Q392">
        <f t="shared" ref="Q392:Q455" si="13">SUMIFS($F$7:$F$843,$E$7:$E$843,E392,$H$7:$H$843,"b")</f>
        <v>263</v>
      </c>
    </row>
    <row r="393" spans="1:20" x14ac:dyDescent="0.25">
      <c r="B393">
        <v>2741</v>
      </c>
      <c r="C393" t="s">
        <v>217</v>
      </c>
      <c r="D393" t="s">
        <v>45</v>
      </c>
      <c r="E393">
        <v>81102</v>
      </c>
      <c r="F393">
        <v>10</v>
      </c>
      <c r="G393">
        <v>111.5</v>
      </c>
      <c r="H393" t="s">
        <v>46</v>
      </c>
      <c r="I393" s="1">
        <v>1115000</v>
      </c>
      <c r="J393" s="2">
        <v>0.46842592592592597</v>
      </c>
      <c r="K393">
        <v>385335</v>
      </c>
      <c r="L393">
        <v>20</v>
      </c>
      <c r="M393" t="s">
        <v>48</v>
      </c>
      <c r="N393" t="s">
        <v>208</v>
      </c>
      <c r="P393">
        <f t="shared" si="12"/>
        <v>25</v>
      </c>
      <c r="Q393">
        <f t="shared" si="13"/>
        <v>0</v>
      </c>
    </row>
    <row r="394" spans="1:20" x14ac:dyDescent="0.25">
      <c r="B394">
        <v>3591</v>
      </c>
      <c r="C394" t="s">
        <v>218</v>
      </c>
      <c r="D394" t="s">
        <v>45</v>
      </c>
      <c r="E394">
        <v>24565</v>
      </c>
      <c r="F394">
        <v>1</v>
      </c>
      <c r="G394">
        <v>220</v>
      </c>
      <c r="H394" t="s">
        <v>46</v>
      </c>
      <c r="I394" s="1">
        <v>220000</v>
      </c>
      <c r="J394" s="2">
        <v>0.55876157407407401</v>
      </c>
      <c r="K394">
        <v>547423</v>
      </c>
      <c r="L394">
        <v>123</v>
      </c>
      <c r="M394" t="s">
        <v>47</v>
      </c>
      <c r="N394" t="s">
        <v>208</v>
      </c>
      <c r="P394">
        <f t="shared" si="12"/>
        <v>4</v>
      </c>
      <c r="Q394">
        <f t="shared" si="13"/>
        <v>0</v>
      </c>
    </row>
    <row r="395" spans="1:20" x14ac:dyDescent="0.25">
      <c r="B395">
        <v>3079</v>
      </c>
      <c r="C395" t="s">
        <v>219</v>
      </c>
      <c r="D395" t="s">
        <v>45</v>
      </c>
      <c r="E395">
        <v>2834</v>
      </c>
      <c r="F395">
        <v>1</v>
      </c>
      <c r="G395">
        <v>9.75</v>
      </c>
      <c r="H395" t="s">
        <v>46</v>
      </c>
      <c r="I395" s="1">
        <v>9750</v>
      </c>
      <c r="J395" s="2">
        <v>0.51496527777777779</v>
      </c>
      <c r="K395">
        <v>1041044</v>
      </c>
      <c r="L395">
        <v>123</v>
      </c>
      <c r="M395" t="s">
        <v>47</v>
      </c>
      <c r="N395" t="s">
        <v>208</v>
      </c>
      <c r="P395">
        <f t="shared" si="12"/>
        <v>100</v>
      </c>
      <c r="Q395">
        <f t="shared" si="13"/>
        <v>0</v>
      </c>
    </row>
    <row r="396" spans="1:20" x14ac:dyDescent="0.25">
      <c r="B396" t="s">
        <v>51</v>
      </c>
      <c r="P396">
        <f t="shared" si="12"/>
        <v>0</v>
      </c>
      <c r="Q396">
        <f t="shared" si="13"/>
        <v>0</v>
      </c>
    </row>
    <row r="397" spans="1:20" x14ac:dyDescent="0.25">
      <c r="B397">
        <v>3502</v>
      </c>
      <c r="C397" t="s">
        <v>220</v>
      </c>
      <c r="D397" t="s">
        <v>45</v>
      </c>
      <c r="E397">
        <v>2834</v>
      </c>
      <c r="F397">
        <v>1</v>
      </c>
      <c r="G397">
        <v>9.77</v>
      </c>
      <c r="H397" t="s">
        <v>46</v>
      </c>
      <c r="I397" s="1">
        <v>9770</v>
      </c>
      <c r="J397" s="2">
        <v>0.55519675925925926</v>
      </c>
      <c r="K397">
        <v>1258211</v>
      </c>
      <c r="L397">
        <v>123</v>
      </c>
      <c r="M397" t="s">
        <v>47</v>
      </c>
      <c r="N397" t="s">
        <v>208</v>
      </c>
      <c r="P397">
        <f t="shared" si="12"/>
        <v>100</v>
      </c>
      <c r="Q397">
        <f t="shared" si="13"/>
        <v>0</v>
      </c>
    </row>
    <row r="398" spans="1:20" x14ac:dyDescent="0.25">
      <c r="B398">
        <v>1345</v>
      </c>
      <c r="C398" t="s">
        <v>221</v>
      </c>
      <c r="D398" t="s">
        <v>45</v>
      </c>
      <c r="E398">
        <v>2313</v>
      </c>
      <c r="F398">
        <v>1</v>
      </c>
      <c r="G398">
        <v>34.1</v>
      </c>
      <c r="H398" t="s">
        <v>49</v>
      </c>
      <c r="I398" s="1">
        <v>34100</v>
      </c>
      <c r="J398" s="2">
        <v>0.41216435185185185</v>
      </c>
      <c r="K398">
        <v>471352</v>
      </c>
      <c r="L398">
        <v>165</v>
      </c>
      <c r="M398" t="s">
        <v>52</v>
      </c>
      <c r="N398" t="s">
        <v>208</v>
      </c>
      <c r="P398">
        <f t="shared" si="12"/>
        <v>0</v>
      </c>
      <c r="Q398">
        <f t="shared" si="13"/>
        <v>902</v>
      </c>
    </row>
    <row r="399" spans="1:20" x14ac:dyDescent="0.25">
      <c r="B399">
        <v>1346</v>
      </c>
      <c r="C399" t="s">
        <v>221</v>
      </c>
      <c r="D399" t="s">
        <v>45</v>
      </c>
      <c r="E399">
        <v>2313</v>
      </c>
      <c r="F399">
        <v>1</v>
      </c>
      <c r="G399">
        <v>34.1</v>
      </c>
      <c r="H399" t="s">
        <v>49</v>
      </c>
      <c r="I399" s="1">
        <v>34100</v>
      </c>
      <c r="J399" s="2">
        <v>0.41216435185185185</v>
      </c>
      <c r="K399">
        <v>471353</v>
      </c>
      <c r="L399">
        <v>165</v>
      </c>
      <c r="M399" t="s">
        <v>52</v>
      </c>
      <c r="N399" t="s">
        <v>208</v>
      </c>
      <c r="P399">
        <f t="shared" si="12"/>
        <v>0</v>
      </c>
      <c r="Q399">
        <f t="shared" si="13"/>
        <v>902</v>
      </c>
    </row>
    <row r="400" spans="1:20" x14ac:dyDescent="0.25">
      <c r="B400">
        <v>1347</v>
      </c>
      <c r="C400" t="s">
        <v>221</v>
      </c>
      <c r="D400" t="s">
        <v>45</v>
      </c>
      <c r="E400">
        <v>2313</v>
      </c>
      <c r="F400">
        <v>21</v>
      </c>
      <c r="G400">
        <v>34.1</v>
      </c>
      <c r="H400" t="s">
        <v>49</v>
      </c>
      <c r="I400" s="1">
        <v>716100</v>
      </c>
      <c r="J400" s="2">
        <v>0.41216435185185185</v>
      </c>
      <c r="K400">
        <v>471354</v>
      </c>
      <c r="L400">
        <v>165</v>
      </c>
      <c r="M400" t="s">
        <v>52</v>
      </c>
      <c r="N400" t="s">
        <v>208</v>
      </c>
      <c r="P400">
        <f t="shared" si="12"/>
        <v>0</v>
      </c>
      <c r="Q400">
        <f t="shared" si="13"/>
        <v>902</v>
      </c>
    </row>
    <row r="401" spans="2:17" x14ac:dyDescent="0.25">
      <c r="B401">
        <v>1298</v>
      </c>
      <c r="C401" t="s">
        <v>221</v>
      </c>
      <c r="D401" t="s">
        <v>45</v>
      </c>
      <c r="E401">
        <v>2313</v>
      </c>
      <c r="F401">
        <v>2</v>
      </c>
      <c r="G401">
        <v>34.15</v>
      </c>
      <c r="H401" t="s">
        <v>49</v>
      </c>
      <c r="I401" s="1">
        <v>68300</v>
      </c>
      <c r="J401" s="2">
        <v>0.41175925925925921</v>
      </c>
      <c r="K401">
        <v>466674</v>
      </c>
      <c r="L401">
        <v>165</v>
      </c>
      <c r="M401" t="s">
        <v>52</v>
      </c>
      <c r="N401" t="s">
        <v>208</v>
      </c>
      <c r="P401">
        <f t="shared" si="12"/>
        <v>0</v>
      </c>
      <c r="Q401">
        <f t="shared" si="13"/>
        <v>902</v>
      </c>
    </row>
    <row r="402" spans="2:17" x14ac:dyDescent="0.25">
      <c r="B402" t="s">
        <v>51</v>
      </c>
      <c r="P402">
        <f t="shared" si="12"/>
        <v>0</v>
      </c>
      <c r="Q402">
        <f t="shared" si="13"/>
        <v>0</v>
      </c>
    </row>
    <row r="403" spans="2:17" x14ac:dyDescent="0.25">
      <c r="B403">
        <v>1300</v>
      </c>
      <c r="C403" t="s">
        <v>221</v>
      </c>
      <c r="D403" t="s">
        <v>45</v>
      </c>
      <c r="E403">
        <v>2313</v>
      </c>
      <c r="F403">
        <v>67</v>
      </c>
      <c r="G403">
        <v>34.15</v>
      </c>
      <c r="H403" t="s">
        <v>49</v>
      </c>
      <c r="I403" s="1">
        <v>2288050</v>
      </c>
      <c r="J403" s="2">
        <v>0.41187499999999999</v>
      </c>
      <c r="K403">
        <v>468086</v>
      </c>
      <c r="L403">
        <v>165</v>
      </c>
      <c r="M403" t="s">
        <v>52</v>
      </c>
      <c r="N403" t="s">
        <v>208</v>
      </c>
      <c r="P403">
        <f t="shared" si="12"/>
        <v>0</v>
      </c>
      <c r="Q403">
        <f t="shared" si="13"/>
        <v>902</v>
      </c>
    </row>
    <row r="404" spans="2:17" x14ac:dyDescent="0.25">
      <c r="B404">
        <v>1301</v>
      </c>
      <c r="C404" t="s">
        <v>221</v>
      </c>
      <c r="D404" t="s">
        <v>45</v>
      </c>
      <c r="E404">
        <v>2313</v>
      </c>
      <c r="F404">
        <v>2</v>
      </c>
      <c r="G404">
        <v>34.15</v>
      </c>
      <c r="H404" t="s">
        <v>49</v>
      </c>
      <c r="I404" s="1">
        <v>68300</v>
      </c>
      <c r="J404" s="2">
        <v>0.41187499999999999</v>
      </c>
      <c r="K404">
        <v>468087</v>
      </c>
      <c r="L404">
        <v>165</v>
      </c>
      <c r="M404" t="s">
        <v>52</v>
      </c>
      <c r="N404" t="s">
        <v>208</v>
      </c>
      <c r="P404">
        <f t="shared" si="12"/>
        <v>0</v>
      </c>
      <c r="Q404">
        <f t="shared" si="13"/>
        <v>902</v>
      </c>
    </row>
    <row r="405" spans="2:17" x14ac:dyDescent="0.25">
      <c r="B405">
        <v>1333</v>
      </c>
      <c r="C405" t="s">
        <v>221</v>
      </c>
      <c r="D405" t="s">
        <v>45</v>
      </c>
      <c r="E405">
        <v>2313</v>
      </c>
      <c r="F405">
        <v>1</v>
      </c>
      <c r="G405">
        <v>34.15</v>
      </c>
      <c r="H405" t="s">
        <v>49</v>
      </c>
      <c r="I405" s="1">
        <v>34150</v>
      </c>
      <c r="J405" s="2">
        <v>0.41193287037037035</v>
      </c>
      <c r="K405">
        <v>468877</v>
      </c>
      <c r="L405">
        <v>165</v>
      </c>
      <c r="M405" t="s">
        <v>52</v>
      </c>
      <c r="N405" t="s">
        <v>208</v>
      </c>
      <c r="P405">
        <f t="shared" si="12"/>
        <v>0</v>
      </c>
      <c r="Q405">
        <f t="shared" si="13"/>
        <v>902</v>
      </c>
    </row>
    <row r="406" spans="2:17" x14ac:dyDescent="0.25">
      <c r="B406">
        <v>1334</v>
      </c>
      <c r="C406" t="s">
        <v>221</v>
      </c>
      <c r="D406" t="s">
        <v>45</v>
      </c>
      <c r="E406">
        <v>2313</v>
      </c>
      <c r="F406">
        <v>12</v>
      </c>
      <c r="G406">
        <v>34.15</v>
      </c>
      <c r="H406" t="s">
        <v>49</v>
      </c>
      <c r="I406" s="1">
        <v>409800</v>
      </c>
      <c r="J406" s="2">
        <v>0.41199074074074077</v>
      </c>
      <c r="K406">
        <v>469537</v>
      </c>
      <c r="L406">
        <v>165</v>
      </c>
      <c r="M406" t="s">
        <v>52</v>
      </c>
      <c r="N406" t="s">
        <v>208</v>
      </c>
      <c r="P406">
        <f t="shared" si="12"/>
        <v>0</v>
      </c>
      <c r="Q406">
        <f t="shared" si="13"/>
        <v>902</v>
      </c>
    </row>
    <row r="407" spans="2:17" x14ac:dyDescent="0.25">
      <c r="B407">
        <v>1335</v>
      </c>
      <c r="C407" t="s">
        <v>221</v>
      </c>
      <c r="D407" t="s">
        <v>45</v>
      </c>
      <c r="E407">
        <v>2313</v>
      </c>
      <c r="F407">
        <v>1</v>
      </c>
      <c r="G407">
        <v>34.15</v>
      </c>
      <c r="H407" t="s">
        <v>49</v>
      </c>
      <c r="I407" s="1">
        <v>34150</v>
      </c>
      <c r="J407" s="2">
        <v>0.41199074074074077</v>
      </c>
      <c r="K407">
        <v>469538</v>
      </c>
      <c r="L407">
        <v>165</v>
      </c>
      <c r="M407" t="s">
        <v>52</v>
      </c>
      <c r="N407" t="s">
        <v>208</v>
      </c>
      <c r="P407">
        <f t="shared" si="12"/>
        <v>0</v>
      </c>
      <c r="Q407">
        <f t="shared" si="13"/>
        <v>902</v>
      </c>
    </row>
    <row r="408" spans="2:17" x14ac:dyDescent="0.25">
      <c r="B408" t="s">
        <v>51</v>
      </c>
      <c r="P408">
        <f t="shared" si="12"/>
        <v>0</v>
      </c>
      <c r="Q408">
        <f t="shared" si="13"/>
        <v>0</v>
      </c>
    </row>
    <row r="409" spans="2:17" x14ac:dyDescent="0.25">
      <c r="B409">
        <v>1336</v>
      </c>
      <c r="C409" t="s">
        <v>221</v>
      </c>
      <c r="D409" t="s">
        <v>45</v>
      </c>
      <c r="E409">
        <v>2313</v>
      </c>
      <c r="F409">
        <v>5</v>
      </c>
      <c r="G409">
        <v>34.15</v>
      </c>
      <c r="H409" t="s">
        <v>49</v>
      </c>
      <c r="I409" s="1">
        <v>170750</v>
      </c>
      <c r="J409" s="2">
        <v>0.41204861111111107</v>
      </c>
      <c r="K409">
        <v>470121</v>
      </c>
      <c r="L409">
        <v>165</v>
      </c>
      <c r="M409" t="s">
        <v>52</v>
      </c>
      <c r="N409" t="s">
        <v>208</v>
      </c>
      <c r="P409">
        <f t="shared" si="12"/>
        <v>0</v>
      </c>
      <c r="Q409">
        <f t="shared" si="13"/>
        <v>902</v>
      </c>
    </row>
    <row r="410" spans="2:17" x14ac:dyDescent="0.25">
      <c r="B410">
        <v>1337</v>
      </c>
      <c r="C410" t="s">
        <v>221</v>
      </c>
      <c r="D410" t="s">
        <v>45</v>
      </c>
      <c r="E410">
        <v>2313</v>
      </c>
      <c r="F410">
        <v>100</v>
      </c>
      <c r="G410">
        <v>34.15</v>
      </c>
      <c r="H410" t="s">
        <v>49</v>
      </c>
      <c r="I410" s="1">
        <v>3415000</v>
      </c>
      <c r="J410" s="2">
        <v>0.41204861111111107</v>
      </c>
      <c r="K410">
        <v>470122</v>
      </c>
      <c r="L410">
        <v>165</v>
      </c>
      <c r="M410" t="s">
        <v>52</v>
      </c>
      <c r="N410" t="s">
        <v>208</v>
      </c>
      <c r="P410">
        <f t="shared" si="12"/>
        <v>0</v>
      </c>
      <c r="Q410">
        <f t="shared" si="13"/>
        <v>902</v>
      </c>
    </row>
    <row r="411" spans="2:17" x14ac:dyDescent="0.25">
      <c r="B411">
        <v>1338</v>
      </c>
      <c r="C411" t="s">
        <v>221</v>
      </c>
      <c r="D411" t="s">
        <v>45</v>
      </c>
      <c r="E411">
        <v>2313</v>
      </c>
      <c r="F411">
        <v>35</v>
      </c>
      <c r="G411">
        <v>34.15</v>
      </c>
      <c r="H411" t="s">
        <v>49</v>
      </c>
      <c r="I411" s="1">
        <v>1195250</v>
      </c>
      <c r="J411" s="2">
        <v>0.41210648148148149</v>
      </c>
      <c r="K411">
        <v>470744</v>
      </c>
      <c r="L411">
        <v>165</v>
      </c>
      <c r="M411" t="s">
        <v>52</v>
      </c>
      <c r="N411" t="s">
        <v>208</v>
      </c>
      <c r="P411">
        <f t="shared" si="12"/>
        <v>0</v>
      </c>
      <c r="Q411">
        <f t="shared" si="13"/>
        <v>902</v>
      </c>
    </row>
    <row r="412" spans="2:17" x14ac:dyDescent="0.25">
      <c r="B412">
        <v>1339</v>
      </c>
      <c r="C412" t="s">
        <v>221</v>
      </c>
      <c r="D412" t="s">
        <v>45</v>
      </c>
      <c r="E412">
        <v>2313</v>
      </c>
      <c r="F412">
        <v>1</v>
      </c>
      <c r="G412">
        <v>34.15</v>
      </c>
      <c r="H412" t="s">
        <v>49</v>
      </c>
      <c r="I412" s="1">
        <v>34150</v>
      </c>
      <c r="J412" s="2">
        <v>0.41210648148148149</v>
      </c>
      <c r="K412">
        <v>470745</v>
      </c>
      <c r="L412">
        <v>165</v>
      </c>
      <c r="M412" t="s">
        <v>52</v>
      </c>
      <c r="N412" t="s">
        <v>208</v>
      </c>
      <c r="P412">
        <f t="shared" si="12"/>
        <v>0</v>
      </c>
      <c r="Q412">
        <f t="shared" si="13"/>
        <v>902</v>
      </c>
    </row>
    <row r="413" spans="2:17" x14ac:dyDescent="0.25">
      <c r="B413">
        <v>1340</v>
      </c>
      <c r="C413" t="s">
        <v>221</v>
      </c>
      <c r="D413" t="s">
        <v>45</v>
      </c>
      <c r="E413">
        <v>2313</v>
      </c>
      <c r="F413">
        <v>10</v>
      </c>
      <c r="G413">
        <v>34.15</v>
      </c>
      <c r="H413" t="s">
        <v>49</v>
      </c>
      <c r="I413" s="1">
        <v>341500</v>
      </c>
      <c r="J413" s="2">
        <v>0.41210648148148149</v>
      </c>
      <c r="K413">
        <v>470746</v>
      </c>
      <c r="L413">
        <v>165</v>
      </c>
      <c r="M413" t="s">
        <v>52</v>
      </c>
      <c r="N413" t="s">
        <v>208</v>
      </c>
      <c r="P413">
        <f t="shared" si="12"/>
        <v>0</v>
      </c>
      <c r="Q413">
        <f t="shared" si="13"/>
        <v>902</v>
      </c>
    </row>
    <row r="414" spans="2:17" x14ac:dyDescent="0.25">
      <c r="B414" t="s">
        <v>51</v>
      </c>
      <c r="P414">
        <f t="shared" si="12"/>
        <v>0</v>
      </c>
      <c r="Q414">
        <f t="shared" si="13"/>
        <v>0</v>
      </c>
    </row>
    <row r="415" spans="2:17" x14ac:dyDescent="0.25">
      <c r="B415">
        <v>1341</v>
      </c>
      <c r="C415" t="s">
        <v>221</v>
      </c>
      <c r="D415" t="s">
        <v>45</v>
      </c>
      <c r="E415">
        <v>2313</v>
      </c>
      <c r="F415">
        <v>1</v>
      </c>
      <c r="G415">
        <v>34.15</v>
      </c>
      <c r="H415" t="s">
        <v>49</v>
      </c>
      <c r="I415" s="1">
        <v>34150</v>
      </c>
      <c r="J415" s="2">
        <v>0.41210648148148149</v>
      </c>
      <c r="K415">
        <v>470747</v>
      </c>
      <c r="L415">
        <v>165</v>
      </c>
      <c r="M415" t="s">
        <v>52</v>
      </c>
      <c r="N415" t="s">
        <v>208</v>
      </c>
      <c r="P415">
        <f t="shared" si="12"/>
        <v>0</v>
      </c>
      <c r="Q415">
        <f t="shared" si="13"/>
        <v>902</v>
      </c>
    </row>
    <row r="416" spans="2:17" x14ac:dyDescent="0.25">
      <c r="B416">
        <v>1342</v>
      </c>
      <c r="C416" t="s">
        <v>221</v>
      </c>
      <c r="D416" t="s">
        <v>45</v>
      </c>
      <c r="E416">
        <v>2313</v>
      </c>
      <c r="F416">
        <v>20</v>
      </c>
      <c r="G416">
        <v>34.15</v>
      </c>
      <c r="H416" t="s">
        <v>49</v>
      </c>
      <c r="I416" s="1">
        <v>683000</v>
      </c>
      <c r="J416" s="2">
        <v>0.41210648148148149</v>
      </c>
      <c r="K416">
        <v>470748</v>
      </c>
      <c r="L416">
        <v>165</v>
      </c>
      <c r="M416" t="s">
        <v>52</v>
      </c>
      <c r="N416" t="s">
        <v>208</v>
      </c>
      <c r="P416">
        <f t="shared" si="12"/>
        <v>0</v>
      </c>
      <c r="Q416">
        <f t="shared" si="13"/>
        <v>902</v>
      </c>
    </row>
    <row r="417" spans="2:17" x14ac:dyDescent="0.25">
      <c r="B417">
        <v>1343</v>
      </c>
      <c r="C417" t="s">
        <v>221</v>
      </c>
      <c r="D417" t="s">
        <v>45</v>
      </c>
      <c r="E417">
        <v>2313</v>
      </c>
      <c r="F417">
        <v>10</v>
      </c>
      <c r="G417">
        <v>34.15</v>
      </c>
      <c r="H417" t="s">
        <v>49</v>
      </c>
      <c r="I417" s="1">
        <v>341500</v>
      </c>
      <c r="J417" s="2">
        <v>0.41210648148148149</v>
      </c>
      <c r="K417">
        <v>470749</v>
      </c>
      <c r="L417">
        <v>165</v>
      </c>
      <c r="M417" t="s">
        <v>52</v>
      </c>
      <c r="N417" t="s">
        <v>208</v>
      </c>
      <c r="P417">
        <f t="shared" si="12"/>
        <v>0</v>
      </c>
      <c r="Q417">
        <f t="shared" si="13"/>
        <v>902</v>
      </c>
    </row>
    <row r="418" spans="2:17" x14ac:dyDescent="0.25">
      <c r="B418">
        <v>1344</v>
      </c>
      <c r="C418" t="s">
        <v>221</v>
      </c>
      <c r="D418" t="s">
        <v>45</v>
      </c>
      <c r="E418">
        <v>2313</v>
      </c>
      <c r="F418">
        <v>60</v>
      </c>
      <c r="G418">
        <v>34.15</v>
      </c>
      <c r="H418" t="s">
        <v>49</v>
      </c>
      <c r="I418" s="1">
        <v>2049000</v>
      </c>
      <c r="J418" s="2">
        <v>0.41210648148148149</v>
      </c>
      <c r="K418">
        <v>470750</v>
      </c>
      <c r="L418">
        <v>165</v>
      </c>
      <c r="M418" t="s">
        <v>52</v>
      </c>
      <c r="N418" t="s">
        <v>208</v>
      </c>
      <c r="P418">
        <f t="shared" si="12"/>
        <v>0</v>
      </c>
      <c r="Q418">
        <f t="shared" si="13"/>
        <v>902</v>
      </c>
    </row>
    <row r="419" spans="2:17" x14ac:dyDescent="0.25">
      <c r="B419">
        <v>1137</v>
      </c>
      <c r="C419" t="s">
        <v>222</v>
      </c>
      <c r="D419" t="s">
        <v>45</v>
      </c>
      <c r="E419">
        <v>2834</v>
      </c>
      <c r="F419">
        <v>1</v>
      </c>
      <c r="G419">
        <v>9.81</v>
      </c>
      <c r="H419" t="s">
        <v>46</v>
      </c>
      <c r="I419" s="1">
        <v>9810</v>
      </c>
      <c r="J419" s="2">
        <v>0.40339120370370374</v>
      </c>
      <c r="K419">
        <v>401861</v>
      </c>
      <c r="L419">
        <v>123</v>
      </c>
      <c r="M419" t="s">
        <v>47</v>
      </c>
      <c r="N419" t="s">
        <v>208</v>
      </c>
      <c r="P419">
        <f t="shared" si="12"/>
        <v>100</v>
      </c>
      <c r="Q419">
        <f t="shared" si="13"/>
        <v>0</v>
      </c>
    </row>
    <row r="420" spans="2:17" x14ac:dyDescent="0.25">
      <c r="B420" t="s">
        <v>51</v>
      </c>
      <c r="P420">
        <f t="shared" si="12"/>
        <v>0</v>
      </c>
      <c r="Q420">
        <f t="shared" si="13"/>
        <v>0</v>
      </c>
    </row>
    <row r="421" spans="2:17" x14ac:dyDescent="0.25">
      <c r="B421">
        <v>1614</v>
      </c>
      <c r="C421" t="s">
        <v>223</v>
      </c>
      <c r="D421" t="s">
        <v>45</v>
      </c>
      <c r="E421">
        <v>2456</v>
      </c>
      <c r="F421">
        <v>1</v>
      </c>
      <c r="G421">
        <v>200.5</v>
      </c>
      <c r="H421" t="s">
        <v>46</v>
      </c>
      <c r="I421" s="1">
        <v>200500</v>
      </c>
      <c r="J421" s="2">
        <v>0.41890046296296296</v>
      </c>
      <c r="K421">
        <v>524489</v>
      </c>
      <c r="L421">
        <v>191</v>
      </c>
      <c r="M421" t="s">
        <v>55</v>
      </c>
      <c r="N421" t="s">
        <v>208</v>
      </c>
      <c r="P421">
        <f t="shared" si="12"/>
        <v>10</v>
      </c>
      <c r="Q421">
        <f t="shared" si="13"/>
        <v>0</v>
      </c>
    </row>
    <row r="422" spans="2:17" x14ac:dyDescent="0.25">
      <c r="B422">
        <v>2409</v>
      </c>
      <c r="C422" t="s">
        <v>224</v>
      </c>
      <c r="D422" t="s">
        <v>45</v>
      </c>
      <c r="E422">
        <v>26095</v>
      </c>
      <c r="F422">
        <v>8</v>
      </c>
      <c r="G422">
        <v>103.45</v>
      </c>
      <c r="H422" t="s">
        <v>46</v>
      </c>
      <c r="I422" s="1">
        <v>827600</v>
      </c>
      <c r="J422" s="2">
        <v>0.44596064814814818</v>
      </c>
      <c r="K422">
        <v>335853</v>
      </c>
      <c r="L422">
        <v>20</v>
      </c>
      <c r="M422" t="s">
        <v>48</v>
      </c>
      <c r="N422" t="s">
        <v>208</v>
      </c>
      <c r="P422">
        <f t="shared" si="12"/>
        <v>58</v>
      </c>
      <c r="Q422">
        <f t="shared" si="13"/>
        <v>263</v>
      </c>
    </row>
    <row r="423" spans="2:17" x14ac:dyDescent="0.25">
      <c r="B423">
        <v>2512</v>
      </c>
      <c r="C423" t="s">
        <v>225</v>
      </c>
      <c r="D423" t="s">
        <v>45</v>
      </c>
      <c r="E423">
        <v>2834</v>
      </c>
      <c r="F423">
        <v>1</v>
      </c>
      <c r="G423">
        <v>9.75</v>
      </c>
      <c r="H423" t="s">
        <v>46</v>
      </c>
      <c r="I423" s="1">
        <v>9750</v>
      </c>
      <c r="J423" s="2">
        <v>0.45281250000000001</v>
      </c>
      <c r="K423">
        <v>755581</v>
      </c>
      <c r="L423">
        <v>123</v>
      </c>
      <c r="M423" t="s">
        <v>47</v>
      </c>
      <c r="N423" t="s">
        <v>208</v>
      </c>
      <c r="P423">
        <f t="shared" si="12"/>
        <v>100</v>
      </c>
      <c r="Q423">
        <f t="shared" si="13"/>
        <v>0</v>
      </c>
    </row>
    <row r="424" spans="2:17" x14ac:dyDescent="0.25">
      <c r="B424">
        <v>2517</v>
      </c>
      <c r="C424" t="s">
        <v>226</v>
      </c>
      <c r="D424" t="s">
        <v>45</v>
      </c>
      <c r="E424">
        <v>2327</v>
      </c>
      <c r="F424">
        <v>1</v>
      </c>
      <c r="G424" s="1">
        <v>1110</v>
      </c>
      <c r="H424" t="s">
        <v>49</v>
      </c>
      <c r="I424" s="1">
        <v>1110000</v>
      </c>
      <c r="J424" s="2">
        <v>0.45296296296296296</v>
      </c>
      <c r="K424">
        <v>756798</v>
      </c>
      <c r="L424">
        <v>192</v>
      </c>
      <c r="M424" t="s">
        <v>50</v>
      </c>
      <c r="N424" t="s">
        <v>208</v>
      </c>
      <c r="P424">
        <f t="shared" si="12"/>
        <v>0</v>
      </c>
      <c r="Q424">
        <f t="shared" si="13"/>
        <v>135</v>
      </c>
    </row>
    <row r="425" spans="2:17" x14ac:dyDescent="0.25">
      <c r="B425">
        <v>2518</v>
      </c>
      <c r="C425" t="s">
        <v>226</v>
      </c>
      <c r="D425" t="s">
        <v>45</v>
      </c>
      <c r="E425">
        <v>2327</v>
      </c>
      <c r="F425">
        <v>1</v>
      </c>
      <c r="G425" s="1">
        <v>1110</v>
      </c>
      <c r="H425" t="s">
        <v>49</v>
      </c>
      <c r="I425" s="1">
        <v>1110000</v>
      </c>
      <c r="J425" s="2">
        <v>0.45296296296296296</v>
      </c>
      <c r="K425">
        <v>756799</v>
      </c>
      <c r="L425">
        <v>192</v>
      </c>
      <c r="M425" t="s">
        <v>50</v>
      </c>
      <c r="N425" t="s">
        <v>208</v>
      </c>
      <c r="P425">
        <f t="shared" si="12"/>
        <v>0</v>
      </c>
      <c r="Q425">
        <f t="shared" si="13"/>
        <v>135</v>
      </c>
    </row>
    <row r="426" spans="2:17" x14ac:dyDescent="0.25">
      <c r="B426" t="s">
        <v>51</v>
      </c>
      <c r="P426">
        <f t="shared" si="12"/>
        <v>0</v>
      </c>
      <c r="Q426">
        <f t="shared" si="13"/>
        <v>0</v>
      </c>
    </row>
    <row r="427" spans="2:17" x14ac:dyDescent="0.25">
      <c r="B427">
        <v>2519</v>
      </c>
      <c r="C427" t="s">
        <v>226</v>
      </c>
      <c r="D427" t="s">
        <v>45</v>
      </c>
      <c r="E427">
        <v>2327</v>
      </c>
      <c r="F427">
        <v>1</v>
      </c>
      <c r="G427" s="1">
        <v>1110</v>
      </c>
      <c r="H427" t="s">
        <v>49</v>
      </c>
      <c r="I427" s="1">
        <v>1110000</v>
      </c>
      <c r="J427" s="2">
        <v>0.45296296296296296</v>
      </c>
      <c r="K427">
        <v>756800</v>
      </c>
      <c r="L427">
        <v>192</v>
      </c>
      <c r="M427" t="s">
        <v>50</v>
      </c>
      <c r="N427" t="s">
        <v>208</v>
      </c>
      <c r="P427">
        <f t="shared" si="12"/>
        <v>0</v>
      </c>
      <c r="Q427">
        <f t="shared" si="13"/>
        <v>135</v>
      </c>
    </row>
    <row r="428" spans="2:17" x14ac:dyDescent="0.25">
      <c r="B428">
        <v>2520</v>
      </c>
      <c r="C428" t="s">
        <v>226</v>
      </c>
      <c r="D428" t="s">
        <v>45</v>
      </c>
      <c r="E428">
        <v>2327</v>
      </c>
      <c r="F428">
        <v>2</v>
      </c>
      <c r="G428" s="1">
        <v>1110</v>
      </c>
      <c r="H428" t="s">
        <v>49</v>
      </c>
      <c r="I428" s="1">
        <v>2220000</v>
      </c>
      <c r="J428" s="2">
        <v>0.45302083333333337</v>
      </c>
      <c r="K428">
        <v>757238</v>
      </c>
      <c r="L428">
        <v>192</v>
      </c>
      <c r="M428" t="s">
        <v>50</v>
      </c>
      <c r="N428" t="s">
        <v>208</v>
      </c>
      <c r="P428">
        <f t="shared" si="12"/>
        <v>0</v>
      </c>
      <c r="Q428">
        <f t="shared" si="13"/>
        <v>135</v>
      </c>
    </row>
    <row r="429" spans="2:17" x14ac:dyDescent="0.25">
      <c r="B429">
        <v>3246</v>
      </c>
      <c r="C429" t="s">
        <v>227</v>
      </c>
      <c r="D429" t="s">
        <v>45</v>
      </c>
      <c r="E429">
        <v>3008</v>
      </c>
      <c r="F429">
        <v>1</v>
      </c>
      <c r="G429" s="1">
        <v>4490</v>
      </c>
      <c r="H429" t="s">
        <v>49</v>
      </c>
      <c r="I429" s="1">
        <v>4490000</v>
      </c>
      <c r="J429" s="2">
        <v>0.54121527777777778</v>
      </c>
      <c r="K429">
        <v>1165477</v>
      </c>
      <c r="L429">
        <v>255</v>
      </c>
      <c r="M429" t="s">
        <v>228</v>
      </c>
      <c r="N429" t="s">
        <v>208</v>
      </c>
      <c r="P429">
        <f t="shared" si="12"/>
        <v>0</v>
      </c>
      <c r="Q429">
        <f t="shared" si="13"/>
        <v>5</v>
      </c>
    </row>
    <row r="430" spans="2:17" x14ac:dyDescent="0.25">
      <c r="B430">
        <v>3381</v>
      </c>
      <c r="C430" t="s">
        <v>229</v>
      </c>
      <c r="D430" t="s">
        <v>45</v>
      </c>
      <c r="E430">
        <v>45551</v>
      </c>
      <c r="F430">
        <v>1</v>
      </c>
      <c r="G430">
        <v>106.8</v>
      </c>
      <c r="H430" t="s">
        <v>46</v>
      </c>
      <c r="I430" s="1">
        <v>106800</v>
      </c>
      <c r="J430" s="2">
        <v>0.55003472222222227</v>
      </c>
      <c r="K430">
        <v>522611</v>
      </c>
      <c r="L430">
        <v>20</v>
      </c>
      <c r="M430" t="s">
        <v>48</v>
      </c>
      <c r="N430" t="s">
        <v>208</v>
      </c>
      <c r="P430">
        <f t="shared" si="12"/>
        <v>14</v>
      </c>
      <c r="Q430">
        <f t="shared" si="13"/>
        <v>0</v>
      </c>
    </row>
    <row r="431" spans="2:17" x14ac:dyDescent="0.25">
      <c r="B431">
        <v>3641</v>
      </c>
      <c r="C431" t="s">
        <v>229</v>
      </c>
      <c r="D431" t="s">
        <v>45</v>
      </c>
      <c r="E431">
        <v>45551</v>
      </c>
      <c r="F431">
        <v>1</v>
      </c>
      <c r="G431">
        <v>106.8</v>
      </c>
      <c r="H431" t="s">
        <v>46</v>
      </c>
      <c r="I431" s="1">
        <v>106800</v>
      </c>
      <c r="J431" s="2">
        <v>0.5625</v>
      </c>
      <c r="K431">
        <v>554403</v>
      </c>
      <c r="L431">
        <v>20</v>
      </c>
      <c r="M431" t="s">
        <v>48</v>
      </c>
      <c r="N431" t="s">
        <v>208</v>
      </c>
      <c r="P431">
        <f t="shared" si="12"/>
        <v>14</v>
      </c>
      <c r="Q431">
        <f t="shared" si="13"/>
        <v>0</v>
      </c>
    </row>
    <row r="432" spans="2:17" x14ac:dyDescent="0.25">
      <c r="B432" t="s">
        <v>53</v>
      </c>
      <c r="P432">
        <f t="shared" si="12"/>
        <v>0</v>
      </c>
      <c r="Q432">
        <f t="shared" si="13"/>
        <v>0</v>
      </c>
    </row>
    <row r="433" spans="1:20" x14ac:dyDescent="0.25">
      <c r="A433" t="s">
        <v>54</v>
      </c>
      <c r="P433">
        <f t="shared" si="12"/>
        <v>0</v>
      </c>
      <c r="Q433">
        <f t="shared" si="13"/>
        <v>0</v>
      </c>
    </row>
    <row r="434" spans="1:20" x14ac:dyDescent="0.25">
      <c r="B434" t="s">
        <v>1</v>
      </c>
      <c r="C434" t="s">
        <v>2</v>
      </c>
      <c r="D434" t="s">
        <v>3</v>
      </c>
      <c r="E434" t="s">
        <v>4</v>
      </c>
      <c r="F434" t="s">
        <v>5</v>
      </c>
      <c r="G434" t="s">
        <v>6</v>
      </c>
      <c r="H434" t="s">
        <v>2</v>
      </c>
      <c r="I434">
        <v>10</v>
      </c>
      <c r="P434">
        <f t="shared" si="12"/>
        <v>0</v>
      </c>
      <c r="Q434">
        <f t="shared" si="13"/>
        <v>0</v>
      </c>
    </row>
    <row r="435" spans="1:20" x14ac:dyDescent="0.25">
      <c r="B435" t="s">
        <v>7</v>
      </c>
      <c r="C435" t="s">
        <v>2</v>
      </c>
      <c r="D435">
        <v>20180612</v>
      </c>
      <c r="E435" t="s">
        <v>8</v>
      </c>
      <c r="F435" t="s">
        <v>9</v>
      </c>
      <c r="G435" t="s">
        <v>10</v>
      </c>
      <c r="H435" t="s">
        <v>11</v>
      </c>
      <c r="I435" t="s">
        <v>12</v>
      </c>
      <c r="J435" t="s">
        <v>13</v>
      </c>
      <c r="K435" t="s">
        <v>14</v>
      </c>
      <c r="L435" t="s">
        <v>15</v>
      </c>
      <c r="M435" t="s">
        <v>16</v>
      </c>
      <c r="N435" t="s">
        <v>17</v>
      </c>
      <c r="O435" t="s">
        <v>18</v>
      </c>
      <c r="P435">
        <f t="shared" si="12"/>
        <v>0</v>
      </c>
      <c r="Q435">
        <f t="shared" si="13"/>
        <v>0</v>
      </c>
      <c r="R435" t="s">
        <v>19</v>
      </c>
      <c r="S435" t="s">
        <v>20</v>
      </c>
    </row>
    <row r="436" spans="1:20" x14ac:dyDescent="0.25">
      <c r="P436">
        <f t="shared" si="12"/>
        <v>0</v>
      </c>
      <c r="Q436">
        <f t="shared" si="13"/>
        <v>0</v>
      </c>
    </row>
    <row r="437" spans="1:20" x14ac:dyDescent="0.25">
      <c r="B437" t="s">
        <v>21</v>
      </c>
      <c r="C437" t="s">
        <v>22</v>
      </c>
      <c r="D437" t="s">
        <v>23</v>
      </c>
      <c r="E437" t="s">
        <v>24</v>
      </c>
      <c r="F437" t="s">
        <v>25</v>
      </c>
      <c r="G437" t="s">
        <v>26</v>
      </c>
      <c r="H437" t="s">
        <v>27</v>
      </c>
      <c r="I437" t="s">
        <v>28</v>
      </c>
      <c r="J437" t="s">
        <v>29</v>
      </c>
      <c r="K437" t="s">
        <v>30</v>
      </c>
      <c r="L437" t="s">
        <v>31</v>
      </c>
      <c r="M437" t="s">
        <v>32</v>
      </c>
      <c r="N437" t="s">
        <v>33</v>
      </c>
      <c r="O437" t="s">
        <v>34</v>
      </c>
      <c r="P437">
        <f t="shared" si="12"/>
        <v>0</v>
      </c>
      <c r="Q437">
        <f t="shared" si="13"/>
        <v>0</v>
      </c>
      <c r="R437" t="s">
        <v>35</v>
      </c>
      <c r="S437" t="s">
        <v>36</v>
      </c>
      <c r="T437" t="s">
        <v>37</v>
      </c>
    </row>
    <row r="438" spans="1:20" x14ac:dyDescent="0.25">
      <c r="B438" t="s">
        <v>38</v>
      </c>
      <c r="C438" t="s">
        <v>39</v>
      </c>
      <c r="D438" t="s">
        <v>38</v>
      </c>
      <c r="E438" t="s">
        <v>38</v>
      </c>
      <c r="F438" t="s">
        <v>40</v>
      </c>
      <c r="G438" t="s">
        <v>38</v>
      </c>
      <c r="H438" t="s">
        <v>41</v>
      </c>
      <c r="I438" t="s">
        <v>42</v>
      </c>
      <c r="J438" t="s">
        <v>39</v>
      </c>
      <c r="K438" t="s">
        <v>38</v>
      </c>
      <c r="L438" t="s">
        <v>38</v>
      </c>
      <c r="M438" t="s">
        <v>43</v>
      </c>
      <c r="N438" t="s">
        <v>43</v>
      </c>
      <c r="O438" t="s">
        <v>44</v>
      </c>
      <c r="P438">
        <f t="shared" si="12"/>
        <v>0</v>
      </c>
      <c r="Q438">
        <f t="shared" si="13"/>
        <v>0</v>
      </c>
    </row>
    <row r="439" spans="1:20" x14ac:dyDescent="0.25">
      <c r="B439">
        <v>3642</v>
      </c>
      <c r="C439" t="s">
        <v>229</v>
      </c>
      <c r="D439" t="s">
        <v>45</v>
      </c>
      <c r="E439">
        <v>45551</v>
      </c>
      <c r="F439">
        <v>1</v>
      </c>
      <c r="G439">
        <v>106.8</v>
      </c>
      <c r="H439" t="s">
        <v>46</v>
      </c>
      <c r="I439" s="1">
        <v>106800</v>
      </c>
      <c r="J439" s="2">
        <v>0.5625</v>
      </c>
      <c r="K439">
        <v>554404</v>
      </c>
      <c r="L439">
        <v>20</v>
      </c>
      <c r="M439" t="s">
        <v>48</v>
      </c>
      <c r="N439" t="s">
        <v>208</v>
      </c>
      <c r="P439">
        <f t="shared" si="12"/>
        <v>14</v>
      </c>
      <c r="Q439">
        <f t="shared" si="13"/>
        <v>0</v>
      </c>
    </row>
    <row r="440" spans="1:20" x14ac:dyDescent="0.25">
      <c r="B440">
        <v>270</v>
      </c>
      <c r="C440" t="s">
        <v>230</v>
      </c>
      <c r="D440" t="s">
        <v>45</v>
      </c>
      <c r="E440">
        <v>2313</v>
      </c>
      <c r="F440">
        <v>1</v>
      </c>
      <c r="G440">
        <v>34.4</v>
      </c>
      <c r="H440" t="s">
        <v>49</v>
      </c>
      <c r="I440" s="1">
        <v>34400</v>
      </c>
      <c r="J440" s="2">
        <v>0.37798611111111113</v>
      </c>
      <c r="K440">
        <v>92459</v>
      </c>
      <c r="L440">
        <v>165</v>
      </c>
      <c r="M440" t="s">
        <v>52</v>
      </c>
      <c r="N440" t="s">
        <v>208</v>
      </c>
      <c r="P440">
        <f t="shared" si="12"/>
        <v>0</v>
      </c>
      <c r="Q440">
        <f t="shared" si="13"/>
        <v>902</v>
      </c>
    </row>
    <row r="441" spans="1:20" x14ac:dyDescent="0.25">
      <c r="B441">
        <v>271</v>
      </c>
      <c r="C441" t="s">
        <v>230</v>
      </c>
      <c r="D441" t="s">
        <v>45</v>
      </c>
      <c r="E441">
        <v>2313</v>
      </c>
      <c r="F441">
        <v>5</v>
      </c>
      <c r="G441">
        <v>34.4</v>
      </c>
      <c r="H441" t="s">
        <v>49</v>
      </c>
      <c r="I441" s="1">
        <v>172000</v>
      </c>
      <c r="J441" s="2">
        <v>0.37798611111111113</v>
      </c>
      <c r="K441">
        <v>92460</v>
      </c>
      <c r="L441">
        <v>165</v>
      </c>
      <c r="M441" t="s">
        <v>52</v>
      </c>
      <c r="N441" t="s">
        <v>208</v>
      </c>
      <c r="P441">
        <f t="shared" si="12"/>
        <v>0</v>
      </c>
      <c r="Q441">
        <f t="shared" si="13"/>
        <v>902</v>
      </c>
    </row>
    <row r="442" spans="1:20" x14ac:dyDescent="0.25">
      <c r="B442">
        <v>272</v>
      </c>
      <c r="C442" t="s">
        <v>230</v>
      </c>
      <c r="D442" t="s">
        <v>45</v>
      </c>
      <c r="E442">
        <v>2313</v>
      </c>
      <c r="F442">
        <v>1</v>
      </c>
      <c r="G442">
        <v>34.4</v>
      </c>
      <c r="H442" t="s">
        <v>49</v>
      </c>
      <c r="I442" s="1">
        <v>34400</v>
      </c>
      <c r="J442" s="2">
        <v>0.37798611111111113</v>
      </c>
      <c r="K442">
        <v>92461</v>
      </c>
      <c r="L442">
        <v>165</v>
      </c>
      <c r="M442" t="s">
        <v>52</v>
      </c>
      <c r="N442" t="s">
        <v>208</v>
      </c>
      <c r="P442">
        <f t="shared" si="12"/>
        <v>0</v>
      </c>
      <c r="Q442">
        <f t="shared" si="13"/>
        <v>902</v>
      </c>
    </row>
    <row r="443" spans="1:20" x14ac:dyDescent="0.25">
      <c r="B443">
        <v>273</v>
      </c>
      <c r="C443" t="s">
        <v>230</v>
      </c>
      <c r="D443" t="s">
        <v>45</v>
      </c>
      <c r="E443">
        <v>2313</v>
      </c>
      <c r="F443">
        <v>2</v>
      </c>
      <c r="G443">
        <v>34.4</v>
      </c>
      <c r="H443" t="s">
        <v>49</v>
      </c>
      <c r="I443" s="1">
        <v>68800</v>
      </c>
      <c r="J443" s="2">
        <v>0.37798611111111113</v>
      </c>
      <c r="K443">
        <v>92462</v>
      </c>
      <c r="L443">
        <v>165</v>
      </c>
      <c r="M443" t="s">
        <v>52</v>
      </c>
      <c r="N443" t="s">
        <v>208</v>
      </c>
      <c r="P443">
        <f t="shared" si="12"/>
        <v>0</v>
      </c>
      <c r="Q443">
        <f t="shared" si="13"/>
        <v>902</v>
      </c>
    </row>
    <row r="444" spans="1:20" x14ac:dyDescent="0.25">
      <c r="B444" t="s">
        <v>51</v>
      </c>
      <c r="P444">
        <f t="shared" si="12"/>
        <v>0</v>
      </c>
      <c r="Q444">
        <f t="shared" si="13"/>
        <v>0</v>
      </c>
    </row>
    <row r="445" spans="1:20" x14ac:dyDescent="0.25">
      <c r="B445">
        <v>274</v>
      </c>
      <c r="C445" t="s">
        <v>230</v>
      </c>
      <c r="D445" t="s">
        <v>45</v>
      </c>
      <c r="E445">
        <v>2313</v>
      </c>
      <c r="F445">
        <v>10</v>
      </c>
      <c r="G445">
        <v>34.4</v>
      </c>
      <c r="H445" t="s">
        <v>49</v>
      </c>
      <c r="I445" s="1">
        <v>344000</v>
      </c>
      <c r="J445" s="2">
        <v>0.37798611111111113</v>
      </c>
      <c r="K445">
        <v>92463</v>
      </c>
      <c r="L445">
        <v>165</v>
      </c>
      <c r="M445" t="s">
        <v>52</v>
      </c>
      <c r="N445" t="s">
        <v>208</v>
      </c>
      <c r="P445">
        <f t="shared" si="12"/>
        <v>0</v>
      </c>
      <c r="Q445">
        <f t="shared" si="13"/>
        <v>902</v>
      </c>
    </row>
    <row r="446" spans="1:20" x14ac:dyDescent="0.25">
      <c r="B446">
        <v>275</v>
      </c>
      <c r="C446" t="s">
        <v>230</v>
      </c>
      <c r="D446" t="s">
        <v>45</v>
      </c>
      <c r="E446">
        <v>2313</v>
      </c>
      <c r="F446">
        <v>33</v>
      </c>
      <c r="G446">
        <v>34.4</v>
      </c>
      <c r="H446" t="s">
        <v>49</v>
      </c>
      <c r="I446" s="1">
        <v>1135200</v>
      </c>
      <c r="J446" s="2">
        <v>0.37798611111111113</v>
      </c>
      <c r="K446">
        <v>92464</v>
      </c>
      <c r="L446">
        <v>165</v>
      </c>
      <c r="M446" t="s">
        <v>52</v>
      </c>
      <c r="N446" t="s">
        <v>208</v>
      </c>
      <c r="P446">
        <f t="shared" si="12"/>
        <v>0</v>
      </c>
      <c r="Q446">
        <f t="shared" si="13"/>
        <v>902</v>
      </c>
    </row>
    <row r="447" spans="1:20" x14ac:dyDescent="0.25">
      <c r="B447">
        <v>276</v>
      </c>
      <c r="C447" t="s">
        <v>230</v>
      </c>
      <c r="D447" t="s">
        <v>45</v>
      </c>
      <c r="E447">
        <v>2313</v>
      </c>
      <c r="F447">
        <v>1</v>
      </c>
      <c r="G447">
        <v>34.4</v>
      </c>
      <c r="H447" t="s">
        <v>49</v>
      </c>
      <c r="I447" s="1">
        <v>34400</v>
      </c>
      <c r="J447" s="2">
        <v>0.37798611111111113</v>
      </c>
      <c r="K447">
        <v>92465</v>
      </c>
      <c r="L447">
        <v>165</v>
      </c>
      <c r="M447" t="s">
        <v>52</v>
      </c>
      <c r="N447" t="s">
        <v>208</v>
      </c>
      <c r="P447">
        <f t="shared" si="12"/>
        <v>0</v>
      </c>
      <c r="Q447">
        <f t="shared" si="13"/>
        <v>902</v>
      </c>
    </row>
    <row r="448" spans="1:20" x14ac:dyDescent="0.25">
      <c r="B448">
        <v>277</v>
      </c>
      <c r="C448" t="s">
        <v>230</v>
      </c>
      <c r="D448" t="s">
        <v>45</v>
      </c>
      <c r="E448">
        <v>2313</v>
      </c>
      <c r="F448">
        <v>1</v>
      </c>
      <c r="G448">
        <v>34.4</v>
      </c>
      <c r="H448" t="s">
        <v>49</v>
      </c>
      <c r="I448" s="1">
        <v>34400</v>
      </c>
      <c r="J448" s="2">
        <v>0.37798611111111113</v>
      </c>
      <c r="K448">
        <v>92466</v>
      </c>
      <c r="L448">
        <v>165</v>
      </c>
      <c r="M448" t="s">
        <v>52</v>
      </c>
      <c r="N448" t="s">
        <v>208</v>
      </c>
      <c r="P448">
        <f t="shared" si="12"/>
        <v>0</v>
      </c>
      <c r="Q448">
        <f t="shared" si="13"/>
        <v>902</v>
      </c>
    </row>
    <row r="449" spans="2:17" x14ac:dyDescent="0.25">
      <c r="B449">
        <v>278</v>
      </c>
      <c r="C449" t="s">
        <v>230</v>
      </c>
      <c r="D449" t="s">
        <v>45</v>
      </c>
      <c r="E449">
        <v>2313</v>
      </c>
      <c r="F449">
        <v>1</v>
      </c>
      <c r="G449">
        <v>34.4</v>
      </c>
      <c r="H449" t="s">
        <v>49</v>
      </c>
      <c r="I449" s="1">
        <v>34400</v>
      </c>
      <c r="J449" s="2">
        <v>0.37798611111111113</v>
      </c>
      <c r="K449">
        <v>92467</v>
      </c>
      <c r="L449">
        <v>165</v>
      </c>
      <c r="M449" t="s">
        <v>52</v>
      </c>
      <c r="N449" t="s">
        <v>208</v>
      </c>
      <c r="P449">
        <f t="shared" si="12"/>
        <v>0</v>
      </c>
      <c r="Q449">
        <f t="shared" si="13"/>
        <v>902</v>
      </c>
    </row>
    <row r="450" spans="2:17" x14ac:dyDescent="0.25">
      <c r="B450" t="s">
        <v>51</v>
      </c>
      <c r="P450">
        <f t="shared" si="12"/>
        <v>0</v>
      </c>
      <c r="Q450">
        <f t="shared" si="13"/>
        <v>0</v>
      </c>
    </row>
    <row r="451" spans="2:17" x14ac:dyDescent="0.25">
      <c r="B451">
        <v>279</v>
      </c>
      <c r="C451" t="s">
        <v>230</v>
      </c>
      <c r="D451" t="s">
        <v>45</v>
      </c>
      <c r="E451">
        <v>2313</v>
      </c>
      <c r="F451">
        <v>100</v>
      </c>
      <c r="G451">
        <v>34.4</v>
      </c>
      <c r="H451" t="s">
        <v>49</v>
      </c>
      <c r="I451" s="1">
        <v>3440000</v>
      </c>
      <c r="J451" s="2">
        <v>0.37798611111111113</v>
      </c>
      <c r="K451">
        <v>92468</v>
      </c>
      <c r="L451">
        <v>165</v>
      </c>
      <c r="M451" t="s">
        <v>52</v>
      </c>
      <c r="N451" t="s">
        <v>208</v>
      </c>
      <c r="P451">
        <f t="shared" si="12"/>
        <v>0</v>
      </c>
      <c r="Q451">
        <f t="shared" si="13"/>
        <v>902</v>
      </c>
    </row>
    <row r="452" spans="2:17" x14ac:dyDescent="0.25">
      <c r="B452">
        <v>280</v>
      </c>
      <c r="C452" t="s">
        <v>230</v>
      </c>
      <c r="D452" t="s">
        <v>45</v>
      </c>
      <c r="E452">
        <v>2313</v>
      </c>
      <c r="F452">
        <v>10</v>
      </c>
      <c r="G452">
        <v>34.4</v>
      </c>
      <c r="H452" t="s">
        <v>49</v>
      </c>
      <c r="I452" s="1">
        <v>344000</v>
      </c>
      <c r="J452" s="2">
        <v>0.37798611111111113</v>
      </c>
      <c r="K452">
        <v>92469</v>
      </c>
      <c r="L452">
        <v>165</v>
      </c>
      <c r="M452" t="s">
        <v>52</v>
      </c>
      <c r="N452" t="s">
        <v>208</v>
      </c>
      <c r="P452">
        <f t="shared" si="12"/>
        <v>0</v>
      </c>
      <c r="Q452">
        <f t="shared" si="13"/>
        <v>902</v>
      </c>
    </row>
    <row r="453" spans="2:17" x14ac:dyDescent="0.25">
      <c r="B453">
        <v>281</v>
      </c>
      <c r="C453" t="s">
        <v>230</v>
      </c>
      <c r="D453" t="s">
        <v>45</v>
      </c>
      <c r="E453">
        <v>2313</v>
      </c>
      <c r="F453">
        <v>1</v>
      </c>
      <c r="G453">
        <v>34.4</v>
      </c>
      <c r="H453" t="s">
        <v>49</v>
      </c>
      <c r="I453" s="1">
        <v>34400</v>
      </c>
      <c r="J453" s="2">
        <v>0.37798611111111113</v>
      </c>
      <c r="K453">
        <v>92470</v>
      </c>
      <c r="L453">
        <v>165</v>
      </c>
      <c r="M453" t="s">
        <v>52</v>
      </c>
      <c r="N453" t="s">
        <v>208</v>
      </c>
      <c r="P453">
        <f t="shared" si="12"/>
        <v>0</v>
      </c>
      <c r="Q453">
        <f t="shared" si="13"/>
        <v>902</v>
      </c>
    </row>
    <row r="454" spans="2:17" x14ac:dyDescent="0.25">
      <c r="B454">
        <v>282</v>
      </c>
      <c r="C454" t="s">
        <v>230</v>
      </c>
      <c r="D454" t="s">
        <v>45</v>
      </c>
      <c r="E454">
        <v>2313</v>
      </c>
      <c r="F454">
        <v>1</v>
      </c>
      <c r="G454">
        <v>34.4</v>
      </c>
      <c r="H454" t="s">
        <v>49</v>
      </c>
      <c r="I454" s="1">
        <v>34400</v>
      </c>
      <c r="J454" s="2">
        <v>0.37798611111111113</v>
      </c>
      <c r="K454">
        <v>92471</v>
      </c>
      <c r="L454">
        <v>165</v>
      </c>
      <c r="M454" t="s">
        <v>52</v>
      </c>
      <c r="N454" t="s">
        <v>208</v>
      </c>
      <c r="P454">
        <f t="shared" si="12"/>
        <v>0</v>
      </c>
      <c r="Q454">
        <f t="shared" si="13"/>
        <v>902</v>
      </c>
    </row>
    <row r="455" spans="2:17" x14ac:dyDescent="0.25">
      <c r="B455">
        <v>283</v>
      </c>
      <c r="C455" t="s">
        <v>230</v>
      </c>
      <c r="D455" t="s">
        <v>45</v>
      </c>
      <c r="E455">
        <v>2313</v>
      </c>
      <c r="F455">
        <v>10</v>
      </c>
      <c r="G455">
        <v>34.4</v>
      </c>
      <c r="H455" t="s">
        <v>49</v>
      </c>
      <c r="I455" s="1">
        <v>344000</v>
      </c>
      <c r="J455" s="2">
        <v>0.37798611111111113</v>
      </c>
      <c r="K455">
        <v>92472</v>
      </c>
      <c r="L455">
        <v>165</v>
      </c>
      <c r="M455" t="s">
        <v>52</v>
      </c>
      <c r="N455" t="s">
        <v>208</v>
      </c>
      <c r="P455">
        <f t="shared" si="12"/>
        <v>0</v>
      </c>
      <c r="Q455">
        <f t="shared" si="13"/>
        <v>902</v>
      </c>
    </row>
    <row r="456" spans="2:17" x14ac:dyDescent="0.25">
      <c r="B456" t="s">
        <v>51</v>
      </c>
      <c r="P456">
        <f t="shared" ref="P456:P519" si="14">SUMIFS($F$7:$F$843,$E$7:$E$843,E456,$H$7:$H$843,"S")</f>
        <v>0</v>
      </c>
      <c r="Q456">
        <f t="shared" ref="Q456:Q519" si="15">SUMIFS($F$7:$F$843,$E$7:$E$843,E456,$H$7:$H$843,"b")</f>
        <v>0</v>
      </c>
    </row>
    <row r="457" spans="2:17" x14ac:dyDescent="0.25">
      <c r="B457">
        <v>284</v>
      </c>
      <c r="C457" t="s">
        <v>230</v>
      </c>
      <c r="D457" t="s">
        <v>45</v>
      </c>
      <c r="E457">
        <v>2313</v>
      </c>
      <c r="F457">
        <v>2</v>
      </c>
      <c r="G457">
        <v>34.4</v>
      </c>
      <c r="H457" t="s">
        <v>49</v>
      </c>
      <c r="I457" s="1">
        <v>68800</v>
      </c>
      <c r="J457" s="2">
        <v>0.37798611111111113</v>
      </c>
      <c r="K457">
        <v>92473</v>
      </c>
      <c r="L457">
        <v>165</v>
      </c>
      <c r="M457" t="s">
        <v>52</v>
      </c>
      <c r="N457" t="s">
        <v>208</v>
      </c>
      <c r="P457">
        <f t="shared" si="14"/>
        <v>0</v>
      </c>
      <c r="Q457">
        <f t="shared" si="15"/>
        <v>902</v>
      </c>
    </row>
    <row r="458" spans="2:17" x14ac:dyDescent="0.25">
      <c r="B458">
        <v>285</v>
      </c>
      <c r="C458" t="s">
        <v>230</v>
      </c>
      <c r="D458" t="s">
        <v>45</v>
      </c>
      <c r="E458">
        <v>2313</v>
      </c>
      <c r="F458">
        <v>1</v>
      </c>
      <c r="G458">
        <v>34.4</v>
      </c>
      <c r="H458" t="s">
        <v>49</v>
      </c>
      <c r="I458" s="1">
        <v>34400</v>
      </c>
      <c r="J458" s="2">
        <v>0.37798611111111113</v>
      </c>
      <c r="K458">
        <v>92474</v>
      </c>
      <c r="L458">
        <v>165</v>
      </c>
      <c r="M458" t="s">
        <v>52</v>
      </c>
      <c r="N458" t="s">
        <v>208</v>
      </c>
      <c r="P458">
        <f t="shared" si="14"/>
        <v>0</v>
      </c>
      <c r="Q458">
        <f t="shared" si="15"/>
        <v>902</v>
      </c>
    </row>
    <row r="459" spans="2:17" x14ac:dyDescent="0.25">
      <c r="B459">
        <v>286</v>
      </c>
      <c r="C459" t="s">
        <v>230</v>
      </c>
      <c r="D459" t="s">
        <v>45</v>
      </c>
      <c r="E459">
        <v>2313</v>
      </c>
      <c r="F459">
        <v>1</v>
      </c>
      <c r="G459">
        <v>34.4</v>
      </c>
      <c r="H459" t="s">
        <v>49</v>
      </c>
      <c r="I459" s="1">
        <v>34400</v>
      </c>
      <c r="J459" s="2">
        <v>0.37798611111111113</v>
      </c>
      <c r="K459">
        <v>92475</v>
      </c>
      <c r="L459">
        <v>165</v>
      </c>
      <c r="M459" t="s">
        <v>52</v>
      </c>
      <c r="N459" t="s">
        <v>208</v>
      </c>
      <c r="P459">
        <f t="shared" si="14"/>
        <v>0</v>
      </c>
      <c r="Q459">
        <f t="shared" si="15"/>
        <v>902</v>
      </c>
    </row>
    <row r="460" spans="2:17" x14ac:dyDescent="0.25">
      <c r="B460">
        <v>287</v>
      </c>
      <c r="C460" t="s">
        <v>230</v>
      </c>
      <c r="D460" t="s">
        <v>45</v>
      </c>
      <c r="E460">
        <v>2313</v>
      </c>
      <c r="F460">
        <v>1</v>
      </c>
      <c r="G460">
        <v>34.4</v>
      </c>
      <c r="H460" t="s">
        <v>49</v>
      </c>
      <c r="I460" s="1">
        <v>34400</v>
      </c>
      <c r="J460" s="2">
        <v>0.37798611111111113</v>
      </c>
      <c r="K460">
        <v>92476</v>
      </c>
      <c r="L460">
        <v>165</v>
      </c>
      <c r="M460" t="s">
        <v>52</v>
      </c>
      <c r="N460" t="s">
        <v>208</v>
      </c>
      <c r="P460">
        <f t="shared" si="14"/>
        <v>0</v>
      </c>
      <c r="Q460">
        <f t="shared" si="15"/>
        <v>902</v>
      </c>
    </row>
    <row r="461" spans="2:17" x14ac:dyDescent="0.25">
      <c r="B461">
        <v>288</v>
      </c>
      <c r="C461" t="s">
        <v>230</v>
      </c>
      <c r="D461" t="s">
        <v>45</v>
      </c>
      <c r="E461">
        <v>2313</v>
      </c>
      <c r="F461">
        <v>1</v>
      </c>
      <c r="G461">
        <v>34.4</v>
      </c>
      <c r="H461" t="s">
        <v>49</v>
      </c>
      <c r="I461" s="1">
        <v>34400</v>
      </c>
      <c r="J461" s="2">
        <v>0.37798611111111113</v>
      </c>
      <c r="K461">
        <v>92477</v>
      </c>
      <c r="L461">
        <v>165</v>
      </c>
      <c r="M461" t="s">
        <v>52</v>
      </c>
      <c r="N461" t="s">
        <v>208</v>
      </c>
      <c r="P461">
        <f t="shared" si="14"/>
        <v>0</v>
      </c>
      <c r="Q461">
        <f t="shared" si="15"/>
        <v>902</v>
      </c>
    </row>
    <row r="462" spans="2:17" x14ac:dyDescent="0.25">
      <c r="B462" t="s">
        <v>51</v>
      </c>
      <c r="P462">
        <f t="shared" si="14"/>
        <v>0</v>
      </c>
      <c r="Q462">
        <f t="shared" si="15"/>
        <v>0</v>
      </c>
    </row>
    <row r="463" spans="2:17" x14ac:dyDescent="0.25">
      <c r="B463">
        <v>289</v>
      </c>
      <c r="C463" t="s">
        <v>230</v>
      </c>
      <c r="D463" t="s">
        <v>45</v>
      </c>
      <c r="E463">
        <v>2313</v>
      </c>
      <c r="F463">
        <v>3</v>
      </c>
      <c r="G463">
        <v>34.4</v>
      </c>
      <c r="H463" t="s">
        <v>49</v>
      </c>
      <c r="I463" s="1">
        <v>103200</v>
      </c>
      <c r="J463" s="2">
        <v>0.37798611111111113</v>
      </c>
      <c r="K463">
        <v>92478</v>
      </c>
      <c r="L463">
        <v>165</v>
      </c>
      <c r="M463" t="s">
        <v>52</v>
      </c>
      <c r="N463" t="s">
        <v>208</v>
      </c>
      <c r="P463">
        <f t="shared" si="14"/>
        <v>0</v>
      </c>
      <c r="Q463">
        <f t="shared" si="15"/>
        <v>902</v>
      </c>
    </row>
    <row r="464" spans="2:17" x14ac:dyDescent="0.25">
      <c r="B464">
        <v>290</v>
      </c>
      <c r="C464" t="s">
        <v>230</v>
      </c>
      <c r="D464" t="s">
        <v>45</v>
      </c>
      <c r="E464">
        <v>2313</v>
      </c>
      <c r="F464">
        <v>1</v>
      </c>
      <c r="G464">
        <v>34.4</v>
      </c>
      <c r="H464" t="s">
        <v>49</v>
      </c>
      <c r="I464" s="1">
        <v>34400</v>
      </c>
      <c r="J464" s="2">
        <v>0.37798611111111113</v>
      </c>
      <c r="K464">
        <v>92479</v>
      </c>
      <c r="L464">
        <v>165</v>
      </c>
      <c r="M464" t="s">
        <v>52</v>
      </c>
      <c r="N464" t="s">
        <v>208</v>
      </c>
      <c r="P464">
        <f t="shared" si="14"/>
        <v>0</v>
      </c>
      <c r="Q464">
        <f t="shared" si="15"/>
        <v>902</v>
      </c>
    </row>
    <row r="465" spans="2:17" x14ac:dyDescent="0.25">
      <c r="B465">
        <v>291</v>
      </c>
      <c r="C465" t="s">
        <v>230</v>
      </c>
      <c r="D465" t="s">
        <v>45</v>
      </c>
      <c r="E465">
        <v>2313</v>
      </c>
      <c r="F465">
        <v>1</v>
      </c>
      <c r="G465">
        <v>34.4</v>
      </c>
      <c r="H465" t="s">
        <v>49</v>
      </c>
      <c r="I465" s="1">
        <v>34400</v>
      </c>
      <c r="J465" s="2">
        <v>0.37798611111111113</v>
      </c>
      <c r="K465">
        <v>92480</v>
      </c>
      <c r="L465">
        <v>165</v>
      </c>
      <c r="M465" t="s">
        <v>52</v>
      </c>
      <c r="N465" t="s">
        <v>208</v>
      </c>
      <c r="P465">
        <f t="shared" si="14"/>
        <v>0</v>
      </c>
      <c r="Q465">
        <f t="shared" si="15"/>
        <v>902</v>
      </c>
    </row>
    <row r="466" spans="2:17" x14ac:dyDescent="0.25">
      <c r="B466">
        <v>292</v>
      </c>
      <c r="C466" t="s">
        <v>230</v>
      </c>
      <c r="D466" t="s">
        <v>45</v>
      </c>
      <c r="E466">
        <v>2313</v>
      </c>
      <c r="F466">
        <v>10</v>
      </c>
      <c r="G466">
        <v>34.4</v>
      </c>
      <c r="H466" t="s">
        <v>49</v>
      </c>
      <c r="I466" s="1">
        <v>344000</v>
      </c>
      <c r="J466" s="2">
        <v>0.37798611111111113</v>
      </c>
      <c r="K466">
        <v>92481</v>
      </c>
      <c r="L466">
        <v>165</v>
      </c>
      <c r="M466" t="s">
        <v>52</v>
      </c>
      <c r="N466" t="s">
        <v>208</v>
      </c>
      <c r="P466">
        <f t="shared" si="14"/>
        <v>0</v>
      </c>
      <c r="Q466">
        <f t="shared" si="15"/>
        <v>902</v>
      </c>
    </row>
    <row r="467" spans="2:17" x14ac:dyDescent="0.25">
      <c r="B467">
        <v>293</v>
      </c>
      <c r="C467" t="s">
        <v>230</v>
      </c>
      <c r="D467" t="s">
        <v>45</v>
      </c>
      <c r="E467">
        <v>2313</v>
      </c>
      <c r="F467">
        <v>1</v>
      </c>
      <c r="G467">
        <v>34.4</v>
      </c>
      <c r="H467" t="s">
        <v>49</v>
      </c>
      <c r="I467" s="1">
        <v>34400</v>
      </c>
      <c r="J467" s="2">
        <v>0.37798611111111113</v>
      </c>
      <c r="K467">
        <v>92482</v>
      </c>
      <c r="L467">
        <v>165</v>
      </c>
      <c r="M467" t="s">
        <v>52</v>
      </c>
      <c r="N467" t="s">
        <v>208</v>
      </c>
      <c r="P467">
        <f t="shared" si="14"/>
        <v>0</v>
      </c>
      <c r="Q467">
        <f t="shared" si="15"/>
        <v>902</v>
      </c>
    </row>
    <row r="468" spans="2:17" x14ac:dyDescent="0.25">
      <c r="B468" t="s">
        <v>51</v>
      </c>
      <c r="P468">
        <f t="shared" si="14"/>
        <v>0</v>
      </c>
      <c r="Q468">
        <f t="shared" si="15"/>
        <v>0</v>
      </c>
    </row>
    <row r="469" spans="2:17" x14ac:dyDescent="0.25">
      <c r="B469">
        <v>294</v>
      </c>
      <c r="C469" t="s">
        <v>230</v>
      </c>
      <c r="D469" t="s">
        <v>45</v>
      </c>
      <c r="E469">
        <v>2313</v>
      </c>
      <c r="F469">
        <v>1</v>
      </c>
      <c r="G469">
        <v>34.4</v>
      </c>
      <c r="H469" t="s">
        <v>49</v>
      </c>
      <c r="I469" s="1">
        <v>34400</v>
      </c>
      <c r="J469" s="2">
        <v>0.37798611111111113</v>
      </c>
      <c r="K469">
        <v>92483</v>
      </c>
      <c r="L469">
        <v>165</v>
      </c>
      <c r="M469" t="s">
        <v>52</v>
      </c>
      <c r="N469" t="s">
        <v>208</v>
      </c>
      <c r="P469">
        <f t="shared" si="14"/>
        <v>0</v>
      </c>
      <c r="Q469">
        <f t="shared" si="15"/>
        <v>902</v>
      </c>
    </row>
    <row r="470" spans="2:17" x14ac:dyDescent="0.25">
      <c r="B470">
        <v>295</v>
      </c>
      <c r="C470" t="s">
        <v>230</v>
      </c>
      <c r="D470" t="s">
        <v>45</v>
      </c>
      <c r="E470">
        <v>2313</v>
      </c>
      <c r="F470">
        <v>2</v>
      </c>
      <c r="G470">
        <v>34.4</v>
      </c>
      <c r="H470" t="s">
        <v>49</v>
      </c>
      <c r="I470" s="1">
        <v>68800</v>
      </c>
      <c r="J470" s="2">
        <v>0.37798611111111113</v>
      </c>
      <c r="K470">
        <v>92484</v>
      </c>
      <c r="L470">
        <v>165</v>
      </c>
      <c r="M470" t="s">
        <v>52</v>
      </c>
      <c r="N470" t="s">
        <v>208</v>
      </c>
      <c r="P470">
        <f t="shared" si="14"/>
        <v>0</v>
      </c>
      <c r="Q470">
        <f t="shared" si="15"/>
        <v>902</v>
      </c>
    </row>
    <row r="471" spans="2:17" x14ac:dyDescent="0.25">
      <c r="B471">
        <v>296</v>
      </c>
      <c r="C471" t="s">
        <v>230</v>
      </c>
      <c r="D471" t="s">
        <v>45</v>
      </c>
      <c r="E471">
        <v>2313</v>
      </c>
      <c r="F471">
        <v>8</v>
      </c>
      <c r="G471">
        <v>34.4</v>
      </c>
      <c r="H471" t="s">
        <v>49</v>
      </c>
      <c r="I471" s="1">
        <v>275200</v>
      </c>
      <c r="J471" s="2">
        <v>0.37798611111111113</v>
      </c>
      <c r="K471">
        <v>92485</v>
      </c>
      <c r="L471">
        <v>165</v>
      </c>
      <c r="M471" t="s">
        <v>52</v>
      </c>
      <c r="N471" t="s">
        <v>208</v>
      </c>
      <c r="P471">
        <f t="shared" si="14"/>
        <v>0</v>
      </c>
      <c r="Q471">
        <f t="shared" si="15"/>
        <v>902</v>
      </c>
    </row>
    <row r="472" spans="2:17" x14ac:dyDescent="0.25">
      <c r="B472">
        <v>297</v>
      </c>
      <c r="C472" t="s">
        <v>230</v>
      </c>
      <c r="D472" t="s">
        <v>45</v>
      </c>
      <c r="E472">
        <v>2313</v>
      </c>
      <c r="F472">
        <v>2</v>
      </c>
      <c r="G472">
        <v>34.4</v>
      </c>
      <c r="H472" t="s">
        <v>49</v>
      </c>
      <c r="I472" s="1">
        <v>68800</v>
      </c>
      <c r="J472" s="2">
        <v>0.37798611111111113</v>
      </c>
      <c r="K472">
        <v>92486</v>
      </c>
      <c r="L472">
        <v>165</v>
      </c>
      <c r="M472" t="s">
        <v>52</v>
      </c>
      <c r="N472" t="s">
        <v>208</v>
      </c>
      <c r="P472">
        <f t="shared" si="14"/>
        <v>0</v>
      </c>
      <c r="Q472">
        <f t="shared" si="15"/>
        <v>902</v>
      </c>
    </row>
    <row r="473" spans="2:17" x14ac:dyDescent="0.25">
      <c r="B473">
        <v>298</v>
      </c>
      <c r="C473" t="s">
        <v>230</v>
      </c>
      <c r="D473" t="s">
        <v>45</v>
      </c>
      <c r="E473">
        <v>2313</v>
      </c>
      <c r="F473">
        <v>6</v>
      </c>
      <c r="G473">
        <v>34.4</v>
      </c>
      <c r="H473" t="s">
        <v>49</v>
      </c>
      <c r="I473" s="1">
        <v>206400</v>
      </c>
      <c r="J473" s="2">
        <v>0.37798611111111113</v>
      </c>
      <c r="K473">
        <v>92487</v>
      </c>
      <c r="L473">
        <v>165</v>
      </c>
      <c r="M473" t="s">
        <v>52</v>
      </c>
      <c r="N473" t="s">
        <v>208</v>
      </c>
      <c r="P473">
        <f t="shared" si="14"/>
        <v>0</v>
      </c>
      <c r="Q473">
        <f t="shared" si="15"/>
        <v>902</v>
      </c>
    </row>
    <row r="474" spans="2:17" x14ac:dyDescent="0.25">
      <c r="B474" t="s">
        <v>51</v>
      </c>
      <c r="P474">
        <f t="shared" si="14"/>
        <v>0</v>
      </c>
      <c r="Q474">
        <f t="shared" si="15"/>
        <v>0</v>
      </c>
    </row>
    <row r="475" spans="2:17" x14ac:dyDescent="0.25">
      <c r="B475">
        <v>299</v>
      </c>
      <c r="C475" t="s">
        <v>230</v>
      </c>
      <c r="D475" t="s">
        <v>45</v>
      </c>
      <c r="E475">
        <v>2313</v>
      </c>
      <c r="F475">
        <v>6</v>
      </c>
      <c r="G475">
        <v>34.4</v>
      </c>
      <c r="H475" t="s">
        <v>49</v>
      </c>
      <c r="I475" s="1">
        <v>206400</v>
      </c>
      <c r="J475" s="2">
        <v>0.37798611111111113</v>
      </c>
      <c r="K475">
        <v>92488</v>
      </c>
      <c r="L475">
        <v>165</v>
      </c>
      <c r="M475" t="s">
        <v>52</v>
      </c>
      <c r="N475" t="s">
        <v>208</v>
      </c>
      <c r="P475">
        <f t="shared" si="14"/>
        <v>0</v>
      </c>
      <c r="Q475">
        <f t="shared" si="15"/>
        <v>902</v>
      </c>
    </row>
    <row r="476" spans="2:17" x14ac:dyDescent="0.25">
      <c r="B476">
        <v>300</v>
      </c>
      <c r="C476" t="s">
        <v>230</v>
      </c>
      <c r="D476" t="s">
        <v>45</v>
      </c>
      <c r="E476">
        <v>2313</v>
      </c>
      <c r="F476">
        <v>1</v>
      </c>
      <c r="G476">
        <v>34.4</v>
      </c>
      <c r="H476" t="s">
        <v>49</v>
      </c>
      <c r="I476" s="1">
        <v>34400</v>
      </c>
      <c r="J476" s="2">
        <v>0.37798611111111113</v>
      </c>
      <c r="K476">
        <v>92489</v>
      </c>
      <c r="L476">
        <v>165</v>
      </c>
      <c r="M476" t="s">
        <v>52</v>
      </c>
      <c r="N476" t="s">
        <v>208</v>
      </c>
      <c r="P476">
        <f t="shared" si="14"/>
        <v>0</v>
      </c>
      <c r="Q476">
        <f t="shared" si="15"/>
        <v>902</v>
      </c>
    </row>
    <row r="477" spans="2:17" x14ac:dyDescent="0.25">
      <c r="B477">
        <v>301</v>
      </c>
      <c r="C477" t="s">
        <v>230</v>
      </c>
      <c r="D477" t="s">
        <v>45</v>
      </c>
      <c r="E477">
        <v>2313</v>
      </c>
      <c r="F477">
        <v>3</v>
      </c>
      <c r="G477">
        <v>34.4</v>
      </c>
      <c r="H477" t="s">
        <v>49</v>
      </c>
      <c r="I477" s="1">
        <v>103200</v>
      </c>
      <c r="J477" s="2">
        <v>0.37798611111111113</v>
      </c>
      <c r="K477">
        <v>92490</v>
      </c>
      <c r="L477">
        <v>165</v>
      </c>
      <c r="M477" t="s">
        <v>52</v>
      </c>
      <c r="N477" t="s">
        <v>208</v>
      </c>
      <c r="P477">
        <f t="shared" si="14"/>
        <v>0</v>
      </c>
      <c r="Q477">
        <f t="shared" si="15"/>
        <v>902</v>
      </c>
    </row>
    <row r="478" spans="2:17" x14ac:dyDescent="0.25">
      <c r="B478">
        <v>302</v>
      </c>
      <c r="C478" t="s">
        <v>230</v>
      </c>
      <c r="D478" t="s">
        <v>45</v>
      </c>
      <c r="E478">
        <v>2313</v>
      </c>
      <c r="F478">
        <v>3</v>
      </c>
      <c r="G478">
        <v>34.4</v>
      </c>
      <c r="H478" t="s">
        <v>49</v>
      </c>
      <c r="I478" s="1">
        <v>103200</v>
      </c>
      <c r="J478" s="2">
        <v>0.37798611111111113</v>
      </c>
      <c r="K478">
        <v>92491</v>
      </c>
      <c r="L478">
        <v>165</v>
      </c>
      <c r="M478" t="s">
        <v>52</v>
      </c>
      <c r="N478" t="s">
        <v>208</v>
      </c>
      <c r="P478">
        <f t="shared" si="14"/>
        <v>0</v>
      </c>
      <c r="Q478">
        <f t="shared" si="15"/>
        <v>902</v>
      </c>
    </row>
    <row r="479" spans="2:17" x14ac:dyDescent="0.25">
      <c r="B479">
        <v>303</v>
      </c>
      <c r="C479" t="s">
        <v>230</v>
      </c>
      <c r="D479" t="s">
        <v>45</v>
      </c>
      <c r="E479">
        <v>2313</v>
      </c>
      <c r="F479">
        <v>1</v>
      </c>
      <c r="G479">
        <v>34.4</v>
      </c>
      <c r="H479" t="s">
        <v>49</v>
      </c>
      <c r="I479" s="1">
        <v>34400</v>
      </c>
      <c r="J479" s="2">
        <v>0.37798611111111113</v>
      </c>
      <c r="K479">
        <v>92492</v>
      </c>
      <c r="L479">
        <v>165</v>
      </c>
      <c r="M479" t="s">
        <v>52</v>
      </c>
      <c r="N479" t="s">
        <v>208</v>
      </c>
      <c r="P479">
        <f t="shared" si="14"/>
        <v>0</v>
      </c>
      <c r="Q479">
        <f t="shared" si="15"/>
        <v>902</v>
      </c>
    </row>
    <row r="480" spans="2:17" x14ac:dyDescent="0.25">
      <c r="B480" t="s">
        <v>53</v>
      </c>
      <c r="P480">
        <f t="shared" si="14"/>
        <v>0</v>
      </c>
      <c r="Q480">
        <f t="shared" si="15"/>
        <v>0</v>
      </c>
    </row>
    <row r="481" spans="1:20" x14ac:dyDescent="0.25">
      <c r="A481" t="s">
        <v>54</v>
      </c>
      <c r="P481">
        <f t="shared" si="14"/>
        <v>0</v>
      </c>
      <c r="Q481">
        <f t="shared" si="15"/>
        <v>0</v>
      </c>
    </row>
    <row r="482" spans="1:20" x14ac:dyDescent="0.25">
      <c r="B482" t="s">
        <v>1</v>
      </c>
      <c r="C482" t="s">
        <v>2</v>
      </c>
      <c r="D482" t="s">
        <v>3</v>
      </c>
      <c r="E482" t="s">
        <v>4</v>
      </c>
      <c r="F482" t="s">
        <v>5</v>
      </c>
      <c r="G482" t="s">
        <v>6</v>
      </c>
      <c r="H482" t="s">
        <v>2</v>
      </c>
      <c r="I482">
        <v>11</v>
      </c>
      <c r="P482">
        <f t="shared" si="14"/>
        <v>0</v>
      </c>
      <c r="Q482">
        <f t="shared" si="15"/>
        <v>0</v>
      </c>
    </row>
    <row r="483" spans="1:20" x14ac:dyDescent="0.25">
      <c r="B483" t="s">
        <v>7</v>
      </c>
      <c r="C483" t="s">
        <v>2</v>
      </c>
      <c r="D483">
        <v>20180612</v>
      </c>
      <c r="E483" t="s">
        <v>8</v>
      </c>
      <c r="F483" t="s">
        <v>9</v>
      </c>
      <c r="G483" t="s">
        <v>10</v>
      </c>
      <c r="H483" t="s">
        <v>11</v>
      </c>
      <c r="I483" t="s">
        <v>12</v>
      </c>
      <c r="J483" t="s">
        <v>13</v>
      </c>
      <c r="K483" t="s">
        <v>14</v>
      </c>
      <c r="L483" t="s">
        <v>15</v>
      </c>
      <c r="M483" t="s">
        <v>16</v>
      </c>
      <c r="N483" t="s">
        <v>17</v>
      </c>
      <c r="O483" t="s">
        <v>18</v>
      </c>
      <c r="P483">
        <f t="shared" si="14"/>
        <v>0</v>
      </c>
      <c r="Q483">
        <f t="shared" si="15"/>
        <v>0</v>
      </c>
      <c r="R483" t="s">
        <v>19</v>
      </c>
      <c r="S483" t="s">
        <v>20</v>
      </c>
    </row>
    <row r="484" spans="1:20" x14ac:dyDescent="0.25">
      <c r="P484">
        <f t="shared" si="14"/>
        <v>0</v>
      </c>
      <c r="Q484">
        <f t="shared" si="15"/>
        <v>0</v>
      </c>
    </row>
    <row r="485" spans="1:20" x14ac:dyDescent="0.25">
      <c r="B485" t="s">
        <v>21</v>
      </c>
      <c r="C485" t="s">
        <v>22</v>
      </c>
      <c r="D485" t="s">
        <v>23</v>
      </c>
      <c r="E485" t="s">
        <v>24</v>
      </c>
      <c r="F485" t="s">
        <v>25</v>
      </c>
      <c r="G485" t="s">
        <v>26</v>
      </c>
      <c r="H485" t="s">
        <v>27</v>
      </c>
      <c r="I485" t="s">
        <v>28</v>
      </c>
      <c r="J485" t="s">
        <v>29</v>
      </c>
      <c r="K485" t="s">
        <v>30</v>
      </c>
      <c r="L485" t="s">
        <v>31</v>
      </c>
      <c r="M485" t="s">
        <v>32</v>
      </c>
      <c r="N485" t="s">
        <v>33</v>
      </c>
      <c r="O485" t="s">
        <v>34</v>
      </c>
      <c r="P485">
        <f t="shared" si="14"/>
        <v>0</v>
      </c>
      <c r="Q485">
        <f t="shared" si="15"/>
        <v>0</v>
      </c>
      <c r="R485" t="s">
        <v>35</v>
      </c>
      <c r="S485" t="s">
        <v>36</v>
      </c>
      <c r="T485" t="s">
        <v>37</v>
      </c>
    </row>
    <row r="486" spans="1:20" x14ac:dyDescent="0.25">
      <c r="B486" t="s">
        <v>38</v>
      </c>
      <c r="C486" t="s">
        <v>39</v>
      </c>
      <c r="D486" t="s">
        <v>38</v>
      </c>
      <c r="E486" t="s">
        <v>38</v>
      </c>
      <c r="F486" t="s">
        <v>40</v>
      </c>
      <c r="G486" t="s">
        <v>38</v>
      </c>
      <c r="H486" t="s">
        <v>41</v>
      </c>
      <c r="I486" t="s">
        <v>42</v>
      </c>
      <c r="J486" t="s">
        <v>39</v>
      </c>
      <c r="K486" t="s">
        <v>38</v>
      </c>
      <c r="L486" t="s">
        <v>38</v>
      </c>
      <c r="M486" t="s">
        <v>43</v>
      </c>
      <c r="N486" t="s">
        <v>43</v>
      </c>
      <c r="O486" t="s">
        <v>44</v>
      </c>
      <c r="P486">
        <f t="shared" si="14"/>
        <v>0</v>
      </c>
      <c r="Q486">
        <f t="shared" si="15"/>
        <v>0</v>
      </c>
    </row>
    <row r="487" spans="1:20" x14ac:dyDescent="0.25">
      <c r="B487">
        <v>304</v>
      </c>
      <c r="C487" t="s">
        <v>230</v>
      </c>
      <c r="D487" t="s">
        <v>45</v>
      </c>
      <c r="E487">
        <v>2313</v>
      </c>
      <c r="F487">
        <v>10</v>
      </c>
      <c r="G487">
        <v>34.4</v>
      </c>
      <c r="H487" t="s">
        <v>49</v>
      </c>
      <c r="I487" s="1">
        <v>344000</v>
      </c>
      <c r="J487" s="2">
        <v>0.37798611111111113</v>
      </c>
      <c r="K487">
        <v>92493</v>
      </c>
      <c r="L487">
        <v>165</v>
      </c>
      <c r="M487" t="s">
        <v>52</v>
      </c>
      <c r="N487" t="s">
        <v>208</v>
      </c>
      <c r="P487">
        <f t="shared" si="14"/>
        <v>0</v>
      </c>
      <c r="Q487">
        <f t="shared" si="15"/>
        <v>902</v>
      </c>
    </row>
    <row r="488" spans="1:20" x14ac:dyDescent="0.25">
      <c r="B488">
        <v>305</v>
      </c>
      <c r="C488" t="s">
        <v>230</v>
      </c>
      <c r="D488" t="s">
        <v>45</v>
      </c>
      <c r="E488">
        <v>2313</v>
      </c>
      <c r="F488">
        <v>10</v>
      </c>
      <c r="G488">
        <v>34.4</v>
      </c>
      <c r="H488" t="s">
        <v>49</v>
      </c>
      <c r="I488" s="1">
        <v>344000</v>
      </c>
      <c r="J488" s="2">
        <v>0.37798611111111113</v>
      </c>
      <c r="K488">
        <v>92494</v>
      </c>
      <c r="L488">
        <v>165</v>
      </c>
      <c r="M488" t="s">
        <v>52</v>
      </c>
      <c r="N488" t="s">
        <v>208</v>
      </c>
      <c r="P488">
        <f t="shared" si="14"/>
        <v>0</v>
      </c>
      <c r="Q488">
        <f t="shared" si="15"/>
        <v>902</v>
      </c>
    </row>
    <row r="489" spans="1:20" x14ac:dyDescent="0.25">
      <c r="B489">
        <v>306</v>
      </c>
      <c r="C489" t="s">
        <v>230</v>
      </c>
      <c r="D489" t="s">
        <v>45</v>
      </c>
      <c r="E489">
        <v>2313</v>
      </c>
      <c r="F489">
        <v>1</v>
      </c>
      <c r="G489">
        <v>34.4</v>
      </c>
      <c r="H489" t="s">
        <v>49</v>
      </c>
      <c r="I489" s="1">
        <v>34400</v>
      </c>
      <c r="J489" s="2">
        <v>0.37798611111111113</v>
      </c>
      <c r="K489">
        <v>92495</v>
      </c>
      <c r="L489">
        <v>165</v>
      </c>
      <c r="M489" t="s">
        <v>52</v>
      </c>
      <c r="N489" t="s">
        <v>208</v>
      </c>
      <c r="P489">
        <f t="shared" si="14"/>
        <v>0</v>
      </c>
      <c r="Q489">
        <f t="shared" si="15"/>
        <v>902</v>
      </c>
    </row>
    <row r="490" spans="1:20" x14ac:dyDescent="0.25">
      <c r="B490">
        <v>307</v>
      </c>
      <c r="C490" t="s">
        <v>230</v>
      </c>
      <c r="D490" t="s">
        <v>45</v>
      </c>
      <c r="E490">
        <v>2313</v>
      </c>
      <c r="F490">
        <v>2</v>
      </c>
      <c r="G490">
        <v>34.4</v>
      </c>
      <c r="H490" t="s">
        <v>49</v>
      </c>
      <c r="I490" s="1">
        <v>68800</v>
      </c>
      <c r="J490" s="2">
        <v>0.37798611111111113</v>
      </c>
      <c r="K490">
        <v>92496</v>
      </c>
      <c r="L490">
        <v>165</v>
      </c>
      <c r="M490" t="s">
        <v>52</v>
      </c>
      <c r="N490" t="s">
        <v>208</v>
      </c>
      <c r="P490">
        <f t="shared" si="14"/>
        <v>0</v>
      </c>
      <c r="Q490">
        <f t="shared" si="15"/>
        <v>902</v>
      </c>
    </row>
    <row r="491" spans="1:20" x14ac:dyDescent="0.25">
      <c r="B491">
        <v>308</v>
      </c>
      <c r="C491" t="s">
        <v>230</v>
      </c>
      <c r="D491" t="s">
        <v>45</v>
      </c>
      <c r="E491">
        <v>2313</v>
      </c>
      <c r="F491">
        <v>1</v>
      </c>
      <c r="G491">
        <v>34.4</v>
      </c>
      <c r="H491" t="s">
        <v>49</v>
      </c>
      <c r="I491" s="1">
        <v>34400</v>
      </c>
      <c r="J491" s="2">
        <v>0.37798611111111113</v>
      </c>
      <c r="K491">
        <v>92497</v>
      </c>
      <c r="L491">
        <v>165</v>
      </c>
      <c r="M491" t="s">
        <v>52</v>
      </c>
      <c r="N491" t="s">
        <v>208</v>
      </c>
      <c r="P491">
        <f t="shared" si="14"/>
        <v>0</v>
      </c>
      <c r="Q491">
        <f t="shared" si="15"/>
        <v>902</v>
      </c>
    </row>
    <row r="492" spans="1:20" x14ac:dyDescent="0.25">
      <c r="B492" t="s">
        <v>51</v>
      </c>
      <c r="P492">
        <f t="shared" si="14"/>
        <v>0</v>
      </c>
      <c r="Q492">
        <f t="shared" si="15"/>
        <v>0</v>
      </c>
    </row>
    <row r="493" spans="1:20" x14ac:dyDescent="0.25">
      <c r="B493">
        <v>309</v>
      </c>
      <c r="C493" t="s">
        <v>230</v>
      </c>
      <c r="D493" t="s">
        <v>45</v>
      </c>
      <c r="E493">
        <v>2313</v>
      </c>
      <c r="F493">
        <v>1</v>
      </c>
      <c r="G493">
        <v>34.4</v>
      </c>
      <c r="H493" t="s">
        <v>49</v>
      </c>
      <c r="I493" s="1">
        <v>34400</v>
      </c>
      <c r="J493" s="2">
        <v>0.37798611111111113</v>
      </c>
      <c r="K493">
        <v>92498</v>
      </c>
      <c r="L493">
        <v>165</v>
      </c>
      <c r="M493" t="s">
        <v>52</v>
      </c>
      <c r="N493" t="s">
        <v>208</v>
      </c>
      <c r="P493">
        <f t="shared" si="14"/>
        <v>0</v>
      </c>
      <c r="Q493">
        <f t="shared" si="15"/>
        <v>902</v>
      </c>
    </row>
    <row r="494" spans="1:20" x14ac:dyDescent="0.25">
      <c r="B494">
        <v>310</v>
      </c>
      <c r="C494" t="s">
        <v>230</v>
      </c>
      <c r="D494" t="s">
        <v>45</v>
      </c>
      <c r="E494">
        <v>2313</v>
      </c>
      <c r="F494">
        <v>1</v>
      </c>
      <c r="G494">
        <v>34.4</v>
      </c>
      <c r="H494" t="s">
        <v>49</v>
      </c>
      <c r="I494" s="1">
        <v>34400</v>
      </c>
      <c r="J494" s="2">
        <v>0.37798611111111113</v>
      </c>
      <c r="K494">
        <v>92499</v>
      </c>
      <c r="L494">
        <v>165</v>
      </c>
      <c r="M494" t="s">
        <v>52</v>
      </c>
      <c r="N494" t="s">
        <v>208</v>
      </c>
      <c r="P494">
        <f t="shared" si="14"/>
        <v>0</v>
      </c>
      <c r="Q494">
        <f t="shared" si="15"/>
        <v>902</v>
      </c>
    </row>
    <row r="495" spans="1:20" x14ac:dyDescent="0.25">
      <c r="B495">
        <v>311</v>
      </c>
      <c r="C495" t="s">
        <v>230</v>
      </c>
      <c r="D495" t="s">
        <v>45</v>
      </c>
      <c r="E495">
        <v>2313</v>
      </c>
      <c r="F495">
        <v>1</v>
      </c>
      <c r="G495">
        <v>34.4</v>
      </c>
      <c r="H495" t="s">
        <v>49</v>
      </c>
      <c r="I495" s="1">
        <v>34400</v>
      </c>
      <c r="J495" s="2">
        <v>0.37798611111111113</v>
      </c>
      <c r="K495">
        <v>92500</v>
      </c>
      <c r="L495">
        <v>165</v>
      </c>
      <c r="M495" t="s">
        <v>52</v>
      </c>
      <c r="N495" t="s">
        <v>208</v>
      </c>
      <c r="P495">
        <f t="shared" si="14"/>
        <v>0</v>
      </c>
      <c r="Q495">
        <f t="shared" si="15"/>
        <v>902</v>
      </c>
    </row>
    <row r="496" spans="1:20" x14ac:dyDescent="0.25">
      <c r="B496">
        <v>312</v>
      </c>
      <c r="C496" t="s">
        <v>230</v>
      </c>
      <c r="D496" t="s">
        <v>45</v>
      </c>
      <c r="E496">
        <v>2313</v>
      </c>
      <c r="F496">
        <v>91</v>
      </c>
      <c r="G496">
        <v>34.4</v>
      </c>
      <c r="H496" t="s">
        <v>49</v>
      </c>
      <c r="I496" s="1">
        <v>3130400</v>
      </c>
      <c r="J496" s="2">
        <v>0.37798611111111113</v>
      </c>
      <c r="K496">
        <v>92501</v>
      </c>
      <c r="L496">
        <v>165</v>
      </c>
      <c r="M496" t="s">
        <v>52</v>
      </c>
      <c r="N496" t="s">
        <v>208</v>
      </c>
      <c r="P496">
        <f t="shared" si="14"/>
        <v>0</v>
      </c>
      <c r="Q496">
        <f t="shared" si="15"/>
        <v>902</v>
      </c>
    </row>
    <row r="497" spans="2:17" x14ac:dyDescent="0.25">
      <c r="B497">
        <v>470</v>
      </c>
      <c r="C497" t="s">
        <v>231</v>
      </c>
      <c r="D497" t="s">
        <v>45</v>
      </c>
      <c r="E497">
        <v>2834</v>
      </c>
      <c r="F497">
        <v>1</v>
      </c>
      <c r="G497">
        <v>9.84</v>
      </c>
      <c r="H497" t="s">
        <v>46</v>
      </c>
      <c r="I497" s="1">
        <v>9840</v>
      </c>
      <c r="J497" s="2">
        <v>0.38512731481481483</v>
      </c>
      <c r="K497">
        <v>205395</v>
      </c>
      <c r="L497">
        <v>123</v>
      </c>
      <c r="M497" t="s">
        <v>47</v>
      </c>
      <c r="N497" t="s">
        <v>208</v>
      </c>
      <c r="P497">
        <f t="shared" si="14"/>
        <v>100</v>
      </c>
      <c r="Q497">
        <f t="shared" si="15"/>
        <v>0</v>
      </c>
    </row>
    <row r="498" spans="2:17" x14ac:dyDescent="0.25">
      <c r="B498" t="s">
        <v>51</v>
      </c>
      <c r="P498">
        <f t="shared" si="14"/>
        <v>0</v>
      </c>
      <c r="Q498">
        <f t="shared" si="15"/>
        <v>0</v>
      </c>
    </row>
    <row r="499" spans="2:17" x14ac:dyDescent="0.25">
      <c r="B499">
        <v>899</v>
      </c>
      <c r="C499" t="s">
        <v>232</v>
      </c>
      <c r="D499" t="s">
        <v>45</v>
      </c>
      <c r="E499">
        <v>2834</v>
      </c>
      <c r="F499">
        <v>1</v>
      </c>
      <c r="G499">
        <v>9.81</v>
      </c>
      <c r="H499" t="s">
        <v>46</v>
      </c>
      <c r="I499" s="1">
        <v>9810</v>
      </c>
      <c r="J499" s="2">
        <v>0.3979166666666667</v>
      </c>
      <c r="K499">
        <v>354994</v>
      </c>
      <c r="L499">
        <v>123</v>
      </c>
      <c r="M499" t="s">
        <v>47</v>
      </c>
      <c r="N499" t="s">
        <v>208</v>
      </c>
      <c r="P499">
        <f t="shared" si="14"/>
        <v>100</v>
      </c>
      <c r="Q499">
        <f t="shared" si="15"/>
        <v>0</v>
      </c>
    </row>
    <row r="500" spans="2:17" x14ac:dyDescent="0.25">
      <c r="B500">
        <v>2099</v>
      </c>
      <c r="C500" t="s">
        <v>233</v>
      </c>
      <c r="D500" t="s">
        <v>45</v>
      </c>
      <c r="E500">
        <v>2834</v>
      </c>
      <c r="F500">
        <v>1</v>
      </c>
      <c r="G500">
        <v>9.75</v>
      </c>
      <c r="H500" t="s">
        <v>46</v>
      </c>
      <c r="I500" s="1">
        <v>9750</v>
      </c>
      <c r="J500" s="2">
        <v>0.43449074074074073</v>
      </c>
      <c r="K500">
        <v>645207</v>
      </c>
      <c r="L500">
        <v>123</v>
      </c>
      <c r="M500" t="s">
        <v>47</v>
      </c>
      <c r="N500" t="s">
        <v>208</v>
      </c>
      <c r="P500">
        <f t="shared" si="14"/>
        <v>100</v>
      </c>
      <c r="Q500">
        <f t="shared" si="15"/>
        <v>0</v>
      </c>
    </row>
    <row r="501" spans="2:17" x14ac:dyDescent="0.25">
      <c r="B501">
        <v>2430</v>
      </c>
      <c r="C501" t="s">
        <v>234</v>
      </c>
      <c r="D501" t="s">
        <v>45</v>
      </c>
      <c r="E501">
        <v>2834</v>
      </c>
      <c r="F501">
        <v>1</v>
      </c>
      <c r="G501">
        <v>9.75</v>
      </c>
      <c r="H501" t="s">
        <v>46</v>
      </c>
      <c r="I501" s="1">
        <v>9750</v>
      </c>
      <c r="J501" s="2">
        <v>0.4472800925925926</v>
      </c>
      <c r="K501">
        <v>721702</v>
      </c>
      <c r="L501">
        <v>123</v>
      </c>
      <c r="M501" t="s">
        <v>47</v>
      </c>
      <c r="N501" t="s">
        <v>208</v>
      </c>
      <c r="P501">
        <f t="shared" si="14"/>
        <v>100</v>
      </c>
      <c r="Q501">
        <f t="shared" si="15"/>
        <v>0</v>
      </c>
    </row>
    <row r="502" spans="2:17" x14ac:dyDescent="0.25">
      <c r="B502">
        <v>3075</v>
      </c>
      <c r="C502" t="s">
        <v>235</v>
      </c>
      <c r="D502" t="s">
        <v>45</v>
      </c>
      <c r="E502">
        <v>2834</v>
      </c>
      <c r="F502">
        <v>1</v>
      </c>
      <c r="G502">
        <v>9.75</v>
      </c>
      <c r="H502" t="s">
        <v>46</v>
      </c>
      <c r="I502" s="1">
        <v>9750</v>
      </c>
      <c r="J502" s="2">
        <v>0.51310185185185186</v>
      </c>
      <c r="K502">
        <v>1033495</v>
      </c>
      <c r="L502">
        <v>123</v>
      </c>
      <c r="M502" t="s">
        <v>47</v>
      </c>
      <c r="N502" t="s">
        <v>208</v>
      </c>
      <c r="P502">
        <f t="shared" si="14"/>
        <v>100</v>
      </c>
      <c r="Q502">
        <f t="shared" si="15"/>
        <v>0</v>
      </c>
    </row>
    <row r="503" spans="2:17" x14ac:dyDescent="0.25">
      <c r="B503">
        <v>3102</v>
      </c>
      <c r="C503" t="s">
        <v>236</v>
      </c>
      <c r="D503" t="s">
        <v>45</v>
      </c>
      <c r="E503">
        <v>2834</v>
      </c>
      <c r="F503">
        <v>1</v>
      </c>
      <c r="G503">
        <v>9.75</v>
      </c>
      <c r="H503" t="s">
        <v>46</v>
      </c>
      <c r="I503" s="1">
        <v>9750</v>
      </c>
      <c r="J503" s="2">
        <v>0.51862268518518517</v>
      </c>
      <c r="K503">
        <v>1056237</v>
      </c>
      <c r="L503">
        <v>123</v>
      </c>
      <c r="M503" t="s">
        <v>47</v>
      </c>
      <c r="N503" t="s">
        <v>208</v>
      </c>
      <c r="P503">
        <f t="shared" si="14"/>
        <v>100</v>
      </c>
      <c r="Q503">
        <f t="shared" si="15"/>
        <v>0</v>
      </c>
    </row>
    <row r="504" spans="2:17" x14ac:dyDescent="0.25">
      <c r="B504" t="s">
        <v>51</v>
      </c>
      <c r="P504">
        <f t="shared" si="14"/>
        <v>0</v>
      </c>
      <c r="Q504">
        <f t="shared" si="15"/>
        <v>0</v>
      </c>
    </row>
    <row r="505" spans="2:17" x14ac:dyDescent="0.25">
      <c r="B505">
        <v>3152</v>
      </c>
      <c r="C505" t="s">
        <v>237</v>
      </c>
      <c r="D505" t="s">
        <v>45</v>
      </c>
      <c r="E505">
        <v>2834</v>
      </c>
      <c r="F505">
        <v>1</v>
      </c>
      <c r="G505">
        <v>9.75</v>
      </c>
      <c r="H505" t="s">
        <v>46</v>
      </c>
      <c r="I505" s="1">
        <v>9750</v>
      </c>
      <c r="J505" s="2">
        <v>0.5277546296296296</v>
      </c>
      <c r="K505">
        <v>1095767</v>
      </c>
      <c r="L505">
        <v>123</v>
      </c>
      <c r="M505" t="s">
        <v>47</v>
      </c>
      <c r="N505" t="s">
        <v>208</v>
      </c>
      <c r="P505">
        <f t="shared" si="14"/>
        <v>100</v>
      </c>
      <c r="Q505">
        <f t="shared" si="15"/>
        <v>0</v>
      </c>
    </row>
    <row r="506" spans="2:17" x14ac:dyDescent="0.25">
      <c r="B506">
        <v>1799</v>
      </c>
      <c r="C506" t="s">
        <v>238</v>
      </c>
      <c r="D506" t="s">
        <v>45</v>
      </c>
      <c r="E506">
        <v>3008</v>
      </c>
      <c r="F506">
        <v>1</v>
      </c>
      <c r="G506" s="1">
        <v>4510</v>
      </c>
      <c r="H506" t="s">
        <v>49</v>
      </c>
      <c r="I506" s="1">
        <v>4510000</v>
      </c>
      <c r="J506" s="2">
        <v>0.42325231481481485</v>
      </c>
      <c r="K506">
        <v>553884</v>
      </c>
      <c r="L506">
        <v>192</v>
      </c>
      <c r="M506" t="s">
        <v>50</v>
      </c>
      <c r="N506" t="s">
        <v>208</v>
      </c>
      <c r="P506">
        <f t="shared" si="14"/>
        <v>0</v>
      </c>
      <c r="Q506">
        <f t="shared" si="15"/>
        <v>5</v>
      </c>
    </row>
    <row r="507" spans="2:17" x14ac:dyDescent="0.25">
      <c r="B507">
        <v>1802</v>
      </c>
      <c r="C507" t="s">
        <v>239</v>
      </c>
      <c r="D507" t="s">
        <v>45</v>
      </c>
      <c r="E507">
        <v>2834</v>
      </c>
      <c r="F507">
        <v>1</v>
      </c>
      <c r="G507">
        <v>9.74</v>
      </c>
      <c r="H507" t="s">
        <v>46</v>
      </c>
      <c r="I507" s="1">
        <v>9740</v>
      </c>
      <c r="J507" s="2">
        <v>0.42350694444444442</v>
      </c>
      <c r="K507">
        <v>555740</v>
      </c>
      <c r="L507">
        <v>123</v>
      </c>
      <c r="M507" t="s">
        <v>47</v>
      </c>
      <c r="N507" t="s">
        <v>208</v>
      </c>
      <c r="P507">
        <f t="shared" si="14"/>
        <v>100</v>
      </c>
      <c r="Q507">
        <f t="shared" si="15"/>
        <v>0</v>
      </c>
    </row>
    <row r="508" spans="2:17" x14ac:dyDescent="0.25">
      <c r="B508">
        <v>2365</v>
      </c>
      <c r="C508" t="s">
        <v>240</v>
      </c>
      <c r="D508" t="s">
        <v>45</v>
      </c>
      <c r="E508">
        <v>2834</v>
      </c>
      <c r="F508">
        <v>1</v>
      </c>
      <c r="G508">
        <v>9.75</v>
      </c>
      <c r="H508" t="s">
        <v>46</v>
      </c>
      <c r="I508" s="1">
        <v>9750</v>
      </c>
      <c r="J508" s="2">
        <v>0.44548611111111108</v>
      </c>
      <c r="K508">
        <v>712827</v>
      </c>
      <c r="L508">
        <v>123</v>
      </c>
      <c r="M508" t="s">
        <v>47</v>
      </c>
      <c r="N508" t="s">
        <v>208</v>
      </c>
      <c r="P508">
        <f t="shared" si="14"/>
        <v>100</v>
      </c>
      <c r="Q508">
        <f t="shared" si="15"/>
        <v>0</v>
      </c>
    </row>
    <row r="509" spans="2:17" x14ac:dyDescent="0.25">
      <c r="B509">
        <v>3177</v>
      </c>
      <c r="C509" t="s">
        <v>241</v>
      </c>
      <c r="D509" t="s">
        <v>45</v>
      </c>
      <c r="E509">
        <v>2834</v>
      </c>
      <c r="F509">
        <v>1</v>
      </c>
      <c r="G509">
        <v>9.76</v>
      </c>
      <c r="H509" t="s">
        <v>46</v>
      </c>
      <c r="I509" s="1">
        <v>9760</v>
      </c>
      <c r="J509" s="2">
        <v>0.5314120370370371</v>
      </c>
      <c r="K509">
        <v>1113815</v>
      </c>
      <c r="L509">
        <v>123</v>
      </c>
      <c r="M509" t="s">
        <v>47</v>
      </c>
      <c r="N509" t="s">
        <v>208</v>
      </c>
      <c r="P509">
        <f t="shared" si="14"/>
        <v>100</v>
      </c>
      <c r="Q509">
        <f t="shared" si="15"/>
        <v>0</v>
      </c>
    </row>
    <row r="510" spans="2:17" x14ac:dyDescent="0.25">
      <c r="B510" t="s">
        <v>51</v>
      </c>
      <c r="P510">
        <f t="shared" si="14"/>
        <v>0</v>
      </c>
      <c r="Q510">
        <f t="shared" si="15"/>
        <v>0</v>
      </c>
    </row>
    <row r="511" spans="2:17" x14ac:dyDescent="0.25">
      <c r="B511">
        <v>3200</v>
      </c>
      <c r="C511" t="s">
        <v>242</v>
      </c>
      <c r="D511" t="s">
        <v>45</v>
      </c>
      <c r="E511">
        <v>2834</v>
      </c>
      <c r="F511">
        <v>1</v>
      </c>
      <c r="G511">
        <v>9.77</v>
      </c>
      <c r="H511" t="s">
        <v>46</v>
      </c>
      <c r="I511" s="1">
        <v>9770</v>
      </c>
      <c r="J511" s="2">
        <v>0.53508101851851853</v>
      </c>
      <c r="K511">
        <v>1131442</v>
      </c>
      <c r="L511">
        <v>123</v>
      </c>
      <c r="M511" t="s">
        <v>47</v>
      </c>
      <c r="N511" t="s">
        <v>208</v>
      </c>
      <c r="P511">
        <f t="shared" si="14"/>
        <v>100</v>
      </c>
      <c r="Q511">
        <f t="shared" si="15"/>
        <v>0</v>
      </c>
    </row>
    <row r="512" spans="2:17" x14ac:dyDescent="0.25">
      <c r="B512">
        <v>627</v>
      </c>
      <c r="C512" t="s">
        <v>243</v>
      </c>
      <c r="D512" t="s">
        <v>45</v>
      </c>
      <c r="E512">
        <v>2834</v>
      </c>
      <c r="F512">
        <v>1</v>
      </c>
      <c r="G512">
        <v>9.82</v>
      </c>
      <c r="H512" t="s">
        <v>46</v>
      </c>
      <c r="I512" s="1">
        <v>9820</v>
      </c>
      <c r="J512" s="2">
        <v>0.39059027777777783</v>
      </c>
      <c r="K512">
        <v>278868</v>
      </c>
      <c r="L512">
        <v>123</v>
      </c>
      <c r="M512" t="s">
        <v>47</v>
      </c>
      <c r="N512" t="s">
        <v>208</v>
      </c>
      <c r="P512">
        <f t="shared" si="14"/>
        <v>100</v>
      </c>
      <c r="Q512">
        <f t="shared" si="15"/>
        <v>0</v>
      </c>
    </row>
    <row r="513" spans="2:17" x14ac:dyDescent="0.25">
      <c r="B513">
        <v>764</v>
      </c>
      <c r="C513" t="s">
        <v>244</v>
      </c>
      <c r="D513" t="s">
        <v>45</v>
      </c>
      <c r="E513">
        <v>2834</v>
      </c>
      <c r="F513">
        <v>1</v>
      </c>
      <c r="G513">
        <v>9.8000000000000007</v>
      </c>
      <c r="H513" t="s">
        <v>46</v>
      </c>
      <c r="I513" s="1">
        <v>9800</v>
      </c>
      <c r="J513" s="2">
        <v>0.39612268518518517</v>
      </c>
      <c r="K513">
        <v>337243</v>
      </c>
      <c r="L513">
        <v>123</v>
      </c>
      <c r="M513" t="s">
        <v>47</v>
      </c>
      <c r="N513" t="s">
        <v>208</v>
      </c>
      <c r="P513">
        <f t="shared" si="14"/>
        <v>100</v>
      </c>
      <c r="Q513">
        <f t="shared" si="15"/>
        <v>0</v>
      </c>
    </row>
    <row r="514" spans="2:17" x14ac:dyDescent="0.25">
      <c r="B514">
        <v>1257</v>
      </c>
      <c r="C514" t="s">
        <v>245</v>
      </c>
      <c r="D514" t="s">
        <v>45</v>
      </c>
      <c r="E514">
        <v>26095</v>
      </c>
      <c r="F514">
        <v>10</v>
      </c>
      <c r="G514">
        <v>103.2</v>
      </c>
      <c r="H514" t="s">
        <v>49</v>
      </c>
      <c r="I514" s="1">
        <v>1032000</v>
      </c>
      <c r="J514" s="2">
        <v>0.40903935185185186</v>
      </c>
      <c r="K514">
        <v>214722</v>
      </c>
      <c r="L514">
        <v>123</v>
      </c>
      <c r="M514" t="s">
        <v>47</v>
      </c>
      <c r="N514" t="s">
        <v>208</v>
      </c>
      <c r="P514">
        <f t="shared" si="14"/>
        <v>58</v>
      </c>
      <c r="Q514">
        <f t="shared" si="15"/>
        <v>263</v>
      </c>
    </row>
    <row r="515" spans="2:17" x14ac:dyDescent="0.25">
      <c r="B515">
        <v>1615</v>
      </c>
      <c r="C515" t="s">
        <v>246</v>
      </c>
      <c r="D515" t="s">
        <v>45</v>
      </c>
      <c r="E515">
        <v>2456</v>
      </c>
      <c r="F515">
        <v>1</v>
      </c>
      <c r="G515">
        <v>200</v>
      </c>
      <c r="H515" t="s">
        <v>46</v>
      </c>
      <c r="I515" s="1">
        <v>200000</v>
      </c>
      <c r="J515" s="2">
        <v>0.4190740740740741</v>
      </c>
      <c r="K515">
        <v>525793</v>
      </c>
      <c r="L515">
        <v>191</v>
      </c>
      <c r="M515" t="s">
        <v>55</v>
      </c>
      <c r="N515" t="s">
        <v>208</v>
      </c>
      <c r="P515">
        <f t="shared" si="14"/>
        <v>10</v>
      </c>
      <c r="Q515">
        <f t="shared" si="15"/>
        <v>0</v>
      </c>
    </row>
    <row r="516" spans="2:17" x14ac:dyDescent="0.25">
      <c r="B516" t="s">
        <v>51</v>
      </c>
      <c r="P516">
        <f t="shared" si="14"/>
        <v>0</v>
      </c>
      <c r="Q516">
        <f t="shared" si="15"/>
        <v>0</v>
      </c>
    </row>
    <row r="517" spans="2:17" x14ac:dyDescent="0.25">
      <c r="B517">
        <v>1861</v>
      </c>
      <c r="C517" t="s">
        <v>247</v>
      </c>
      <c r="D517" t="s">
        <v>45</v>
      </c>
      <c r="E517">
        <v>4803</v>
      </c>
      <c r="F517">
        <v>1</v>
      </c>
      <c r="G517">
        <v>174.5</v>
      </c>
      <c r="H517" t="s">
        <v>46</v>
      </c>
      <c r="I517" s="1">
        <v>174500</v>
      </c>
      <c r="J517" s="2">
        <v>0.42517361111111113</v>
      </c>
      <c r="K517">
        <v>271225</v>
      </c>
      <c r="L517">
        <v>191</v>
      </c>
      <c r="M517" t="s">
        <v>55</v>
      </c>
      <c r="N517" t="s">
        <v>208</v>
      </c>
      <c r="P517">
        <f t="shared" si="14"/>
        <v>4</v>
      </c>
      <c r="Q517">
        <f t="shared" si="15"/>
        <v>0</v>
      </c>
    </row>
    <row r="518" spans="2:17" x14ac:dyDescent="0.25">
      <c r="B518">
        <v>1862</v>
      </c>
      <c r="C518" t="s">
        <v>248</v>
      </c>
      <c r="D518" t="s">
        <v>45</v>
      </c>
      <c r="E518">
        <v>4803</v>
      </c>
      <c r="F518">
        <v>1</v>
      </c>
      <c r="G518">
        <v>174.5</v>
      </c>
      <c r="H518" t="s">
        <v>46</v>
      </c>
      <c r="I518" s="1">
        <v>174500</v>
      </c>
      <c r="J518" s="2">
        <v>0.42523148148148149</v>
      </c>
      <c r="K518">
        <v>271461</v>
      </c>
      <c r="L518">
        <v>191</v>
      </c>
      <c r="M518" t="s">
        <v>55</v>
      </c>
      <c r="N518" t="s">
        <v>208</v>
      </c>
      <c r="P518">
        <f t="shared" si="14"/>
        <v>4</v>
      </c>
      <c r="Q518">
        <f t="shared" si="15"/>
        <v>0</v>
      </c>
    </row>
    <row r="519" spans="2:17" x14ac:dyDescent="0.25">
      <c r="B519">
        <v>2432</v>
      </c>
      <c r="C519" t="s">
        <v>249</v>
      </c>
      <c r="D519" t="s">
        <v>45</v>
      </c>
      <c r="E519">
        <v>26095</v>
      </c>
      <c r="F519">
        <v>10</v>
      </c>
      <c r="G519">
        <v>103.5</v>
      </c>
      <c r="H519" t="s">
        <v>46</v>
      </c>
      <c r="I519" s="1">
        <v>1035000</v>
      </c>
      <c r="J519" s="2">
        <v>0.44747685185185188</v>
      </c>
      <c r="K519">
        <v>339230</v>
      </c>
      <c r="L519">
        <v>20</v>
      </c>
      <c r="M519" t="s">
        <v>48</v>
      </c>
      <c r="N519" t="s">
        <v>208</v>
      </c>
      <c r="P519">
        <f t="shared" si="14"/>
        <v>58</v>
      </c>
      <c r="Q519">
        <f t="shared" si="15"/>
        <v>263</v>
      </c>
    </row>
    <row r="520" spans="2:17" x14ac:dyDescent="0.25">
      <c r="B520">
        <v>2689</v>
      </c>
      <c r="C520" t="s">
        <v>250</v>
      </c>
      <c r="D520" t="s">
        <v>45</v>
      </c>
      <c r="E520">
        <v>2834</v>
      </c>
      <c r="F520">
        <v>1</v>
      </c>
      <c r="G520">
        <v>9.75</v>
      </c>
      <c r="H520" t="s">
        <v>46</v>
      </c>
      <c r="I520" s="1">
        <v>9750</v>
      </c>
      <c r="J520" s="2">
        <v>0.4619328703703704</v>
      </c>
      <c r="K520">
        <v>812085</v>
      </c>
      <c r="L520">
        <v>123</v>
      </c>
      <c r="M520" t="s">
        <v>47</v>
      </c>
      <c r="N520" t="s">
        <v>208</v>
      </c>
      <c r="P520">
        <f t="shared" ref="P520:P583" si="16">SUMIFS($F$7:$F$843,$E$7:$E$843,E520,$H$7:$H$843,"S")</f>
        <v>100</v>
      </c>
      <c r="Q520">
        <f t="shared" ref="Q520:Q583" si="17">SUMIFS($F$7:$F$843,$E$7:$E$843,E520,$H$7:$H$843,"b")</f>
        <v>0</v>
      </c>
    </row>
    <row r="521" spans="2:17" x14ac:dyDescent="0.25">
      <c r="B521">
        <v>2881</v>
      </c>
      <c r="C521" t="s">
        <v>251</v>
      </c>
      <c r="D521" t="s">
        <v>45</v>
      </c>
      <c r="E521">
        <v>2834</v>
      </c>
      <c r="F521">
        <v>1</v>
      </c>
      <c r="G521">
        <v>9.77</v>
      </c>
      <c r="H521" t="s">
        <v>46</v>
      </c>
      <c r="I521" s="1">
        <v>9770</v>
      </c>
      <c r="J521" s="2">
        <v>0.47652777777777783</v>
      </c>
      <c r="K521">
        <v>885714</v>
      </c>
      <c r="L521">
        <v>123</v>
      </c>
      <c r="M521" t="s">
        <v>47</v>
      </c>
      <c r="N521" t="s">
        <v>208</v>
      </c>
      <c r="P521">
        <f t="shared" si="16"/>
        <v>100</v>
      </c>
      <c r="Q521">
        <f t="shared" si="17"/>
        <v>0</v>
      </c>
    </row>
    <row r="522" spans="2:17" x14ac:dyDescent="0.25">
      <c r="B522" t="s">
        <v>51</v>
      </c>
      <c r="P522">
        <f t="shared" si="16"/>
        <v>0</v>
      </c>
      <c r="Q522">
        <f t="shared" si="17"/>
        <v>0</v>
      </c>
    </row>
    <row r="523" spans="2:17" x14ac:dyDescent="0.25">
      <c r="B523">
        <v>2883</v>
      </c>
      <c r="C523" t="s">
        <v>252</v>
      </c>
      <c r="D523" t="s">
        <v>45</v>
      </c>
      <c r="E523">
        <v>26095</v>
      </c>
      <c r="F523">
        <v>10</v>
      </c>
      <c r="G523">
        <v>104</v>
      </c>
      <c r="H523" t="s">
        <v>49</v>
      </c>
      <c r="I523" s="1">
        <v>1040000</v>
      </c>
      <c r="J523" s="2">
        <v>0.47684027777777777</v>
      </c>
      <c r="K523">
        <v>398529</v>
      </c>
      <c r="L523">
        <v>123</v>
      </c>
      <c r="M523" t="s">
        <v>47</v>
      </c>
      <c r="N523" t="s">
        <v>208</v>
      </c>
      <c r="P523">
        <f t="shared" si="16"/>
        <v>58</v>
      </c>
      <c r="Q523">
        <f t="shared" si="17"/>
        <v>263</v>
      </c>
    </row>
    <row r="524" spans="2:17" x14ac:dyDescent="0.25">
      <c r="B524">
        <v>3013</v>
      </c>
      <c r="C524" t="s">
        <v>253</v>
      </c>
      <c r="D524" t="s">
        <v>45</v>
      </c>
      <c r="E524">
        <v>2834</v>
      </c>
      <c r="F524">
        <v>1</v>
      </c>
      <c r="G524">
        <v>9.76</v>
      </c>
      <c r="H524" t="s">
        <v>46</v>
      </c>
      <c r="I524" s="1">
        <v>9760</v>
      </c>
      <c r="J524" s="2">
        <v>0.49850694444444449</v>
      </c>
      <c r="K524">
        <v>979255</v>
      </c>
      <c r="L524">
        <v>123</v>
      </c>
      <c r="M524" t="s">
        <v>47</v>
      </c>
      <c r="N524" t="s">
        <v>208</v>
      </c>
      <c r="P524">
        <f t="shared" si="16"/>
        <v>100</v>
      </c>
      <c r="Q524">
        <f t="shared" si="17"/>
        <v>0</v>
      </c>
    </row>
    <row r="525" spans="2:17" x14ac:dyDescent="0.25">
      <c r="B525">
        <v>3215</v>
      </c>
      <c r="C525" t="s">
        <v>254</v>
      </c>
      <c r="D525" t="s">
        <v>45</v>
      </c>
      <c r="E525">
        <v>2834</v>
      </c>
      <c r="F525">
        <v>1</v>
      </c>
      <c r="G525">
        <v>9.7799999999999994</v>
      </c>
      <c r="H525" t="s">
        <v>46</v>
      </c>
      <c r="I525" s="1">
        <v>9780</v>
      </c>
      <c r="J525" s="2">
        <v>0.53873842592592591</v>
      </c>
      <c r="K525">
        <v>1151378</v>
      </c>
      <c r="L525">
        <v>123</v>
      </c>
      <c r="M525" t="s">
        <v>47</v>
      </c>
      <c r="N525" t="s">
        <v>208</v>
      </c>
      <c r="P525">
        <f t="shared" si="16"/>
        <v>100</v>
      </c>
      <c r="Q525">
        <f t="shared" si="17"/>
        <v>0</v>
      </c>
    </row>
    <row r="526" spans="2:17" x14ac:dyDescent="0.25">
      <c r="B526">
        <v>3342</v>
      </c>
      <c r="C526" t="s">
        <v>255</v>
      </c>
      <c r="D526" t="s">
        <v>45</v>
      </c>
      <c r="E526">
        <v>2834</v>
      </c>
      <c r="F526">
        <v>1</v>
      </c>
      <c r="G526">
        <v>9.77</v>
      </c>
      <c r="H526" t="s">
        <v>46</v>
      </c>
      <c r="I526" s="1">
        <v>9770</v>
      </c>
      <c r="J526" s="2">
        <v>0.54606481481481484</v>
      </c>
      <c r="K526">
        <v>1195072</v>
      </c>
      <c r="L526">
        <v>123</v>
      </c>
      <c r="M526" t="s">
        <v>47</v>
      </c>
      <c r="N526" t="s">
        <v>208</v>
      </c>
      <c r="P526">
        <f t="shared" si="16"/>
        <v>100</v>
      </c>
      <c r="Q526">
        <f t="shared" si="17"/>
        <v>0</v>
      </c>
    </row>
    <row r="527" spans="2:17" x14ac:dyDescent="0.25">
      <c r="B527">
        <v>3353</v>
      </c>
      <c r="C527" t="s">
        <v>256</v>
      </c>
      <c r="D527" t="s">
        <v>45</v>
      </c>
      <c r="E527">
        <v>2834</v>
      </c>
      <c r="F527">
        <v>1</v>
      </c>
      <c r="G527">
        <v>9.77</v>
      </c>
      <c r="H527" t="s">
        <v>46</v>
      </c>
      <c r="I527" s="1">
        <v>9770</v>
      </c>
      <c r="J527" s="2">
        <v>0.5478587962962963</v>
      </c>
      <c r="K527">
        <v>1206619</v>
      </c>
      <c r="L527">
        <v>123</v>
      </c>
      <c r="M527" t="s">
        <v>47</v>
      </c>
      <c r="N527" t="s">
        <v>208</v>
      </c>
      <c r="P527">
        <f t="shared" si="16"/>
        <v>100</v>
      </c>
      <c r="Q527">
        <f t="shared" si="17"/>
        <v>0</v>
      </c>
    </row>
    <row r="528" spans="2:17" x14ac:dyDescent="0.25">
      <c r="B528" t="s">
        <v>53</v>
      </c>
      <c r="P528">
        <f t="shared" si="16"/>
        <v>0</v>
      </c>
      <c r="Q528">
        <f t="shared" si="17"/>
        <v>0</v>
      </c>
    </row>
    <row r="529" spans="1:20" x14ac:dyDescent="0.25">
      <c r="A529" t="s">
        <v>54</v>
      </c>
      <c r="P529">
        <f t="shared" si="16"/>
        <v>0</v>
      </c>
      <c r="Q529">
        <f t="shared" si="17"/>
        <v>0</v>
      </c>
    </row>
    <row r="530" spans="1:20" x14ac:dyDescent="0.25">
      <c r="B530" t="s">
        <v>1</v>
      </c>
      <c r="C530" t="s">
        <v>2</v>
      </c>
      <c r="D530" t="s">
        <v>3</v>
      </c>
      <c r="E530" t="s">
        <v>4</v>
      </c>
      <c r="F530" t="s">
        <v>5</v>
      </c>
      <c r="G530" t="s">
        <v>6</v>
      </c>
      <c r="H530" t="s">
        <v>2</v>
      </c>
      <c r="I530">
        <v>12</v>
      </c>
      <c r="P530">
        <f t="shared" si="16"/>
        <v>0</v>
      </c>
      <c r="Q530">
        <f t="shared" si="17"/>
        <v>0</v>
      </c>
    </row>
    <row r="531" spans="1:20" x14ac:dyDescent="0.25">
      <c r="B531" t="s">
        <v>7</v>
      </c>
      <c r="C531" t="s">
        <v>2</v>
      </c>
      <c r="D531">
        <v>20180612</v>
      </c>
      <c r="E531" t="s">
        <v>8</v>
      </c>
      <c r="F531" t="s">
        <v>9</v>
      </c>
      <c r="G531" t="s">
        <v>10</v>
      </c>
      <c r="H531" t="s">
        <v>11</v>
      </c>
      <c r="I531" t="s">
        <v>12</v>
      </c>
      <c r="J531" t="s">
        <v>13</v>
      </c>
      <c r="K531" t="s">
        <v>14</v>
      </c>
      <c r="L531" t="s">
        <v>15</v>
      </c>
      <c r="M531" t="s">
        <v>16</v>
      </c>
      <c r="N531" t="s">
        <v>17</v>
      </c>
      <c r="O531" t="s">
        <v>18</v>
      </c>
      <c r="P531">
        <f t="shared" si="16"/>
        <v>0</v>
      </c>
      <c r="Q531">
        <f t="shared" si="17"/>
        <v>0</v>
      </c>
      <c r="R531" t="s">
        <v>19</v>
      </c>
      <c r="S531" t="s">
        <v>20</v>
      </c>
    </row>
    <row r="532" spans="1:20" x14ac:dyDescent="0.25">
      <c r="P532">
        <f t="shared" si="16"/>
        <v>0</v>
      </c>
      <c r="Q532">
        <f t="shared" si="17"/>
        <v>0</v>
      </c>
    </row>
    <row r="533" spans="1:20" x14ac:dyDescent="0.25">
      <c r="B533" t="s">
        <v>21</v>
      </c>
      <c r="C533" t="s">
        <v>22</v>
      </c>
      <c r="D533" t="s">
        <v>23</v>
      </c>
      <c r="E533" t="s">
        <v>24</v>
      </c>
      <c r="F533" t="s">
        <v>25</v>
      </c>
      <c r="G533" t="s">
        <v>26</v>
      </c>
      <c r="H533" t="s">
        <v>27</v>
      </c>
      <c r="I533" t="s">
        <v>28</v>
      </c>
      <c r="J533" t="s">
        <v>29</v>
      </c>
      <c r="K533" t="s">
        <v>30</v>
      </c>
      <c r="L533" t="s">
        <v>31</v>
      </c>
      <c r="M533" t="s">
        <v>32</v>
      </c>
      <c r="N533" t="s">
        <v>33</v>
      </c>
      <c r="O533" t="s">
        <v>34</v>
      </c>
      <c r="P533">
        <f t="shared" si="16"/>
        <v>0</v>
      </c>
      <c r="Q533">
        <f t="shared" si="17"/>
        <v>0</v>
      </c>
      <c r="R533" t="s">
        <v>35</v>
      </c>
      <c r="S533" t="s">
        <v>36</v>
      </c>
      <c r="T533" t="s">
        <v>37</v>
      </c>
    </row>
    <row r="534" spans="1:20" x14ac:dyDescent="0.25">
      <c r="B534" t="s">
        <v>38</v>
      </c>
      <c r="C534" t="s">
        <v>39</v>
      </c>
      <c r="D534" t="s">
        <v>38</v>
      </c>
      <c r="E534" t="s">
        <v>38</v>
      </c>
      <c r="F534" t="s">
        <v>40</v>
      </c>
      <c r="G534" t="s">
        <v>38</v>
      </c>
      <c r="H534" t="s">
        <v>41</v>
      </c>
      <c r="I534" t="s">
        <v>42</v>
      </c>
      <c r="J534" t="s">
        <v>39</v>
      </c>
      <c r="K534" t="s">
        <v>38</v>
      </c>
      <c r="L534" t="s">
        <v>38</v>
      </c>
      <c r="M534" t="s">
        <v>43</v>
      </c>
      <c r="N534" t="s">
        <v>43</v>
      </c>
      <c r="O534" t="s">
        <v>44</v>
      </c>
      <c r="P534">
        <f t="shared" si="16"/>
        <v>0</v>
      </c>
      <c r="Q534">
        <f t="shared" si="17"/>
        <v>0</v>
      </c>
    </row>
    <row r="535" spans="1:20" x14ac:dyDescent="0.25">
      <c r="B535">
        <v>3554</v>
      </c>
      <c r="C535" t="s">
        <v>257</v>
      </c>
      <c r="D535" t="s">
        <v>45</v>
      </c>
      <c r="E535">
        <v>2834</v>
      </c>
      <c r="F535">
        <v>1</v>
      </c>
      <c r="G535">
        <v>9.76</v>
      </c>
      <c r="H535" t="s">
        <v>46</v>
      </c>
      <c r="I535" s="1">
        <v>9760</v>
      </c>
      <c r="J535" s="2">
        <v>0.55699074074074073</v>
      </c>
      <c r="K535">
        <v>1273118</v>
      </c>
      <c r="L535">
        <v>123</v>
      </c>
      <c r="M535" t="s">
        <v>47</v>
      </c>
      <c r="N535" t="s">
        <v>208</v>
      </c>
      <c r="P535">
        <f t="shared" si="16"/>
        <v>100</v>
      </c>
      <c r="Q535">
        <f t="shared" si="17"/>
        <v>0</v>
      </c>
    </row>
    <row r="536" spans="1:20" x14ac:dyDescent="0.25">
      <c r="B536">
        <v>1520</v>
      </c>
      <c r="C536" t="s">
        <v>258</v>
      </c>
      <c r="D536" t="s">
        <v>45</v>
      </c>
      <c r="E536">
        <v>2834</v>
      </c>
      <c r="F536">
        <v>1</v>
      </c>
      <c r="G536">
        <v>9.81</v>
      </c>
      <c r="H536" t="s">
        <v>46</v>
      </c>
      <c r="I536" s="1">
        <v>9810</v>
      </c>
      <c r="J536" s="2">
        <v>0.41437499999999999</v>
      </c>
      <c r="K536">
        <v>491564</v>
      </c>
      <c r="L536">
        <v>123</v>
      </c>
      <c r="M536" t="s">
        <v>47</v>
      </c>
      <c r="N536" t="s">
        <v>208</v>
      </c>
      <c r="P536">
        <f t="shared" si="16"/>
        <v>100</v>
      </c>
      <c r="Q536">
        <f t="shared" si="17"/>
        <v>0</v>
      </c>
    </row>
    <row r="537" spans="1:20" x14ac:dyDescent="0.25">
      <c r="B537">
        <v>1712</v>
      </c>
      <c r="C537" t="s">
        <v>259</v>
      </c>
      <c r="D537" t="s">
        <v>45</v>
      </c>
      <c r="E537">
        <v>2456</v>
      </c>
      <c r="F537">
        <v>1</v>
      </c>
      <c r="G537">
        <v>201.5</v>
      </c>
      <c r="H537" t="s">
        <v>46</v>
      </c>
      <c r="I537" s="1">
        <v>201500</v>
      </c>
      <c r="J537" s="2">
        <v>0.4208217592592593</v>
      </c>
      <c r="K537">
        <v>537884</v>
      </c>
      <c r="L537">
        <v>191</v>
      </c>
      <c r="M537" t="s">
        <v>55</v>
      </c>
      <c r="N537" t="s">
        <v>208</v>
      </c>
      <c r="P537">
        <f t="shared" si="16"/>
        <v>10</v>
      </c>
      <c r="Q537">
        <f t="shared" si="17"/>
        <v>0</v>
      </c>
    </row>
    <row r="538" spans="1:20" x14ac:dyDescent="0.25">
      <c r="B538">
        <v>2152</v>
      </c>
      <c r="C538" t="s">
        <v>260</v>
      </c>
      <c r="D538" t="s">
        <v>45</v>
      </c>
      <c r="E538">
        <v>3008</v>
      </c>
      <c r="F538">
        <v>1</v>
      </c>
      <c r="G538" s="1">
        <v>4480</v>
      </c>
      <c r="H538" t="s">
        <v>49</v>
      </c>
      <c r="I538" s="1">
        <v>4480000</v>
      </c>
      <c r="J538" s="2">
        <v>0.43806712962962963</v>
      </c>
      <c r="K538">
        <v>666597</v>
      </c>
      <c r="L538">
        <v>192</v>
      </c>
      <c r="M538" t="s">
        <v>50</v>
      </c>
      <c r="N538" t="s">
        <v>208</v>
      </c>
      <c r="P538">
        <f t="shared" si="16"/>
        <v>0</v>
      </c>
      <c r="Q538">
        <f t="shared" si="17"/>
        <v>5</v>
      </c>
    </row>
    <row r="539" spans="1:20" x14ac:dyDescent="0.25">
      <c r="B539">
        <v>2318</v>
      </c>
      <c r="C539" t="s">
        <v>261</v>
      </c>
      <c r="D539" t="s">
        <v>45</v>
      </c>
      <c r="E539">
        <v>2834</v>
      </c>
      <c r="F539">
        <v>1</v>
      </c>
      <c r="G539">
        <v>9.75</v>
      </c>
      <c r="H539" t="s">
        <v>46</v>
      </c>
      <c r="I539" s="1">
        <v>9750</v>
      </c>
      <c r="J539" s="2">
        <v>0.4418171296296296</v>
      </c>
      <c r="K539">
        <v>690775</v>
      </c>
      <c r="L539">
        <v>123</v>
      </c>
      <c r="M539" t="s">
        <v>47</v>
      </c>
      <c r="N539" t="s">
        <v>208</v>
      </c>
      <c r="P539">
        <f t="shared" si="16"/>
        <v>100</v>
      </c>
      <c r="Q539">
        <f t="shared" si="17"/>
        <v>0</v>
      </c>
    </row>
    <row r="540" spans="1:20" x14ac:dyDescent="0.25">
      <c r="B540" t="s">
        <v>51</v>
      </c>
      <c r="P540">
        <f t="shared" si="16"/>
        <v>0</v>
      </c>
      <c r="Q540">
        <f t="shared" si="17"/>
        <v>0</v>
      </c>
    </row>
    <row r="541" spans="1:20" x14ac:dyDescent="0.25">
      <c r="B541">
        <v>443</v>
      </c>
      <c r="C541" t="s">
        <v>262</v>
      </c>
      <c r="D541" t="s">
        <v>45</v>
      </c>
      <c r="E541">
        <v>45551</v>
      </c>
      <c r="F541">
        <v>3</v>
      </c>
      <c r="G541">
        <v>107</v>
      </c>
      <c r="H541" t="s">
        <v>46</v>
      </c>
      <c r="I541" s="1">
        <v>321000</v>
      </c>
      <c r="J541" s="2">
        <v>0.3822916666666667</v>
      </c>
      <c r="K541">
        <v>82562</v>
      </c>
      <c r="L541">
        <v>20</v>
      </c>
      <c r="M541" t="s">
        <v>48</v>
      </c>
      <c r="N541" t="s">
        <v>208</v>
      </c>
      <c r="P541">
        <f t="shared" si="16"/>
        <v>14</v>
      </c>
      <c r="Q541">
        <f t="shared" si="17"/>
        <v>0</v>
      </c>
    </row>
    <row r="542" spans="1:20" x14ac:dyDescent="0.25">
      <c r="B542">
        <v>1424</v>
      </c>
      <c r="C542" t="s">
        <v>263</v>
      </c>
      <c r="D542" t="s">
        <v>45</v>
      </c>
      <c r="E542">
        <v>2327</v>
      </c>
      <c r="F542">
        <v>1</v>
      </c>
      <c r="G542" s="1">
        <v>1150</v>
      </c>
      <c r="H542" t="s">
        <v>49</v>
      </c>
      <c r="I542" s="1">
        <v>1150000</v>
      </c>
      <c r="J542" s="2">
        <v>0.41268518518518515</v>
      </c>
      <c r="K542">
        <v>476191</v>
      </c>
      <c r="L542">
        <v>192</v>
      </c>
      <c r="M542" t="s">
        <v>50</v>
      </c>
      <c r="N542" t="s">
        <v>208</v>
      </c>
      <c r="P542">
        <f t="shared" si="16"/>
        <v>0</v>
      </c>
      <c r="Q542">
        <f t="shared" si="17"/>
        <v>135</v>
      </c>
    </row>
    <row r="543" spans="1:20" x14ac:dyDescent="0.25">
      <c r="B543">
        <v>1475</v>
      </c>
      <c r="C543" t="s">
        <v>263</v>
      </c>
      <c r="D543" t="s">
        <v>45</v>
      </c>
      <c r="E543">
        <v>2327</v>
      </c>
      <c r="F543">
        <v>4</v>
      </c>
      <c r="G543" s="1">
        <v>1150</v>
      </c>
      <c r="H543" t="s">
        <v>49</v>
      </c>
      <c r="I543" s="1">
        <v>4600000</v>
      </c>
      <c r="J543" s="2">
        <v>0.41280092592592593</v>
      </c>
      <c r="K543">
        <v>477480</v>
      </c>
      <c r="L543">
        <v>192</v>
      </c>
      <c r="M543" t="s">
        <v>50</v>
      </c>
      <c r="N543" t="s">
        <v>208</v>
      </c>
      <c r="P543">
        <f t="shared" si="16"/>
        <v>0</v>
      </c>
      <c r="Q543">
        <f t="shared" si="17"/>
        <v>135</v>
      </c>
    </row>
    <row r="544" spans="1:20" x14ac:dyDescent="0.25">
      <c r="B544">
        <v>2611</v>
      </c>
      <c r="C544" t="s">
        <v>264</v>
      </c>
      <c r="D544" t="s">
        <v>45</v>
      </c>
      <c r="E544">
        <v>2834</v>
      </c>
      <c r="F544">
        <v>1</v>
      </c>
      <c r="G544">
        <v>9.74</v>
      </c>
      <c r="H544" t="s">
        <v>46</v>
      </c>
      <c r="I544" s="1">
        <v>9740</v>
      </c>
      <c r="J544" s="2">
        <v>0.45827546296296301</v>
      </c>
      <c r="K544">
        <v>792835</v>
      </c>
      <c r="L544">
        <v>123</v>
      </c>
      <c r="M544" t="s">
        <v>47</v>
      </c>
      <c r="N544" t="s">
        <v>208</v>
      </c>
      <c r="P544">
        <f t="shared" si="16"/>
        <v>100</v>
      </c>
      <c r="Q544">
        <f t="shared" si="17"/>
        <v>0</v>
      </c>
    </row>
    <row r="545" spans="2:17" x14ac:dyDescent="0.25">
      <c r="B545">
        <v>2777</v>
      </c>
      <c r="C545" t="s">
        <v>265</v>
      </c>
      <c r="D545" t="s">
        <v>45</v>
      </c>
      <c r="E545">
        <v>2834</v>
      </c>
      <c r="F545">
        <v>1</v>
      </c>
      <c r="G545">
        <v>9.75</v>
      </c>
      <c r="H545" t="s">
        <v>46</v>
      </c>
      <c r="I545" s="1">
        <v>9750</v>
      </c>
      <c r="J545" s="2">
        <v>0.47106481481481483</v>
      </c>
      <c r="K545">
        <v>853515</v>
      </c>
      <c r="L545">
        <v>123</v>
      </c>
      <c r="M545" t="s">
        <v>47</v>
      </c>
      <c r="N545" t="s">
        <v>208</v>
      </c>
      <c r="P545">
        <f t="shared" si="16"/>
        <v>100</v>
      </c>
      <c r="Q545">
        <f t="shared" si="17"/>
        <v>0</v>
      </c>
    </row>
    <row r="546" spans="2:17" x14ac:dyDescent="0.25">
      <c r="B546" t="s">
        <v>51</v>
      </c>
      <c r="P546">
        <f t="shared" si="16"/>
        <v>0</v>
      </c>
      <c r="Q546">
        <f t="shared" si="17"/>
        <v>0</v>
      </c>
    </row>
    <row r="547" spans="2:17" x14ac:dyDescent="0.25">
      <c r="B547">
        <v>3064</v>
      </c>
      <c r="C547" t="s">
        <v>266</v>
      </c>
      <c r="D547" t="s">
        <v>45</v>
      </c>
      <c r="E547">
        <v>81102</v>
      </c>
      <c r="F547">
        <v>10</v>
      </c>
      <c r="G547">
        <v>111.5</v>
      </c>
      <c r="H547" t="s">
        <v>46</v>
      </c>
      <c r="I547" s="1">
        <v>1115000</v>
      </c>
      <c r="J547" s="2">
        <v>0.50813657407407409</v>
      </c>
      <c r="K547">
        <v>449146</v>
      </c>
      <c r="L547">
        <v>20</v>
      </c>
      <c r="M547" t="s">
        <v>48</v>
      </c>
      <c r="N547" t="s">
        <v>208</v>
      </c>
      <c r="P547">
        <f t="shared" si="16"/>
        <v>25</v>
      </c>
      <c r="Q547">
        <f t="shared" si="17"/>
        <v>0</v>
      </c>
    </row>
    <row r="548" spans="2:17" x14ac:dyDescent="0.25">
      <c r="B548">
        <v>3001</v>
      </c>
      <c r="C548" t="s">
        <v>267</v>
      </c>
      <c r="D548" t="s">
        <v>45</v>
      </c>
      <c r="E548">
        <v>26183</v>
      </c>
      <c r="F548">
        <v>15</v>
      </c>
      <c r="G548">
        <v>104.25</v>
      </c>
      <c r="H548" t="s">
        <v>49</v>
      </c>
      <c r="I548" s="1">
        <v>1563750</v>
      </c>
      <c r="J548" s="2">
        <v>0.49450231481481483</v>
      </c>
      <c r="K548">
        <v>429884</v>
      </c>
      <c r="L548">
        <v>123</v>
      </c>
      <c r="M548" t="s">
        <v>47</v>
      </c>
      <c r="N548" t="s">
        <v>208</v>
      </c>
      <c r="P548">
        <f t="shared" si="16"/>
        <v>0</v>
      </c>
      <c r="Q548">
        <f t="shared" si="17"/>
        <v>50</v>
      </c>
    </row>
    <row r="549" spans="2:17" x14ac:dyDescent="0.25">
      <c r="B549">
        <v>3002</v>
      </c>
      <c r="C549" t="s">
        <v>267</v>
      </c>
      <c r="D549" t="s">
        <v>45</v>
      </c>
      <c r="E549">
        <v>26183</v>
      </c>
      <c r="F549">
        <v>2</v>
      </c>
      <c r="G549">
        <v>104.25</v>
      </c>
      <c r="H549" t="s">
        <v>49</v>
      </c>
      <c r="I549" s="1">
        <v>208500</v>
      </c>
      <c r="J549" s="2">
        <v>0.49450231481481483</v>
      </c>
      <c r="K549">
        <v>429885</v>
      </c>
      <c r="L549">
        <v>123</v>
      </c>
      <c r="M549" t="s">
        <v>47</v>
      </c>
      <c r="N549" t="s">
        <v>208</v>
      </c>
      <c r="P549">
        <f t="shared" si="16"/>
        <v>0</v>
      </c>
      <c r="Q549">
        <f t="shared" si="17"/>
        <v>50</v>
      </c>
    </row>
    <row r="550" spans="2:17" x14ac:dyDescent="0.25">
      <c r="B550">
        <v>3003</v>
      </c>
      <c r="C550" t="s">
        <v>267</v>
      </c>
      <c r="D550" t="s">
        <v>45</v>
      </c>
      <c r="E550">
        <v>26183</v>
      </c>
      <c r="F550">
        <v>5</v>
      </c>
      <c r="G550">
        <v>104.25</v>
      </c>
      <c r="H550" t="s">
        <v>49</v>
      </c>
      <c r="I550" s="1">
        <v>521250</v>
      </c>
      <c r="J550" s="2">
        <v>0.49450231481481483</v>
      </c>
      <c r="K550">
        <v>429886</v>
      </c>
      <c r="L550">
        <v>123</v>
      </c>
      <c r="M550" t="s">
        <v>47</v>
      </c>
      <c r="N550" t="s">
        <v>208</v>
      </c>
      <c r="P550">
        <f t="shared" si="16"/>
        <v>0</v>
      </c>
      <c r="Q550">
        <f t="shared" si="17"/>
        <v>50</v>
      </c>
    </row>
    <row r="551" spans="2:17" x14ac:dyDescent="0.25">
      <c r="B551">
        <v>3004</v>
      </c>
      <c r="C551" t="s">
        <v>267</v>
      </c>
      <c r="D551" t="s">
        <v>45</v>
      </c>
      <c r="E551">
        <v>26183</v>
      </c>
      <c r="F551">
        <v>5</v>
      </c>
      <c r="G551">
        <v>104.25</v>
      </c>
      <c r="H551" t="s">
        <v>49</v>
      </c>
      <c r="I551" s="1">
        <v>521250</v>
      </c>
      <c r="J551" s="2">
        <v>0.49450231481481483</v>
      </c>
      <c r="K551">
        <v>429887</v>
      </c>
      <c r="L551">
        <v>123</v>
      </c>
      <c r="M551" t="s">
        <v>47</v>
      </c>
      <c r="N551" t="s">
        <v>208</v>
      </c>
      <c r="P551">
        <f t="shared" si="16"/>
        <v>0</v>
      </c>
      <c r="Q551">
        <f t="shared" si="17"/>
        <v>50</v>
      </c>
    </row>
    <row r="552" spans="2:17" x14ac:dyDescent="0.25">
      <c r="B552" t="s">
        <v>51</v>
      </c>
      <c r="P552">
        <f t="shared" si="16"/>
        <v>0</v>
      </c>
      <c r="Q552">
        <f t="shared" si="17"/>
        <v>0</v>
      </c>
    </row>
    <row r="553" spans="2:17" x14ac:dyDescent="0.25">
      <c r="B553">
        <v>3005</v>
      </c>
      <c r="C553" t="s">
        <v>267</v>
      </c>
      <c r="D553" t="s">
        <v>45</v>
      </c>
      <c r="E553">
        <v>26183</v>
      </c>
      <c r="F553">
        <v>20</v>
      </c>
      <c r="G553">
        <v>104.25</v>
      </c>
      <c r="H553" t="s">
        <v>49</v>
      </c>
      <c r="I553" s="1">
        <v>2085000</v>
      </c>
      <c r="J553" s="2">
        <v>0.49450231481481483</v>
      </c>
      <c r="K553">
        <v>429888</v>
      </c>
      <c r="L553">
        <v>123</v>
      </c>
      <c r="M553" t="s">
        <v>47</v>
      </c>
      <c r="N553" t="s">
        <v>208</v>
      </c>
      <c r="P553">
        <f t="shared" si="16"/>
        <v>0</v>
      </c>
      <c r="Q553">
        <f t="shared" si="17"/>
        <v>50</v>
      </c>
    </row>
    <row r="554" spans="2:17" x14ac:dyDescent="0.25">
      <c r="B554">
        <v>3006</v>
      </c>
      <c r="C554" t="s">
        <v>267</v>
      </c>
      <c r="D554" t="s">
        <v>45</v>
      </c>
      <c r="E554">
        <v>26183</v>
      </c>
      <c r="F554">
        <v>3</v>
      </c>
      <c r="G554">
        <v>104.25</v>
      </c>
      <c r="H554" t="s">
        <v>49</v>
      </c>
      <c r="I554" s="1">
        <v>312750</v>
      </c>
      <c r="J554" s="2">
        <v>0.49450231481481483</v>
      </c>
      <c r="K554">
        <v>429889</v>
      </c>
      <c r="L554">
        <v>123</v>
      </c>
      <c r="M554" t="s">
        <v>47</v>
      </c>
      <c r="N554" t="s">
        <v>208</v>
      </c>
      <c r="P554">
        <f t="shared" si="16"/>
        <v>0</v>
      </c>
      <c r="Q554">
        <f t="shared" si="17"/>
        <v>50</v>
      </c>
    </row>
    <row r="555" spans="2:17" x14ac:dyDescent="0.25">
      <c r="B555">
        <v>463</v>
      </c>
      <c r="C555" t="s">
        <v>268</v>
      </c>
      <c r="D555" t="s">
        <v>45</v>
      </c>
      <c r="E555">
        <v>24565</v>
      </c>
      <c r="F555">
        <v>1</v>
      </c>
      <c r="G555">
        <v>216</v>
      </c>
      <c r="H555" t="s">
        <v>46</v>
      </c>
      <c r="I555" s="1">
        <v>216000</v>
      </c>
      <c r="J555" s="2">
        <v>0.38358796296296299</v>
      </c>
      <c r="K555">
        <v>92296</v>
      </c>
      <c r="L555">
        <v>123</v>
      </c>
      <c r="M555" t="s">
        <v>47</v>
      </c>
      <c r="N555" t="s">
        <v>208</v>
      </c>
      <c r="P555">
        <f t="shared" si="16"/>
        <v>4</v>
      </c>
      <c r="Q555">
        <f t="shared" si="17"/>
        <v>0</v>
      </c>
    </row>
    <row r="556" spans="2:17" x14ac:dyDescent="0.25">
      <c r="B556">
        <v>1546</v>
      </c>
      <c r="C556" t="s">
        <v>269</v>
      </c>
      <c r="D556" t="s">
        <v>45</v>
      </c>
      <c r="E556">
        <v>2834</v>
      </c>
      <c r="F556">
        <v>1</v>
      </c>
      <c r="G556">
        <v>9.8000000000000007</v>
      </c>
      <c r="H556" t="s">
        <v>46</v>
      </c>
      <c r="I556" s="1">
        <v>9800</v>
      </c>
      <c r="J556" s="2">
        <v>0.41623842592592591</v>
      </c>
      <c r="K556">
        <v>504557</v>
      </c>
      <c r="L556">
        <v>123</v>
      </c>
      <c r="M556" t="s">
        <v>47</v>
      </c>
      <c r="N556" t="s">
        <v>208</v>
      </c>
      <c r="P556">
        <f t="shared" si="16"/>
        <v>100</v>
      </c>
      <c r="Q556">
        <f t="shared" si="17"/>
        <v>0</v>
      </c>
    </row>
    <row r="557" spans="2:17" x14ac:dyDescent="0.25">
      <c r="B557">
        <v>2444</v>
      </c>
      <c r="C557" t="s">
        <v>270</v>
      </c>
      <c r="D557" t="s">
        <v>45</v>
      </c>
      <c r="E557">
        <v>2327</v>
      </c>
      <c r="F557">
        <v>2</v>
      </c>
      <c r="G557" s="1">
        <v>1125</v>
      </c>
      <c r="H557" t="s">
        <v>49</v>
      </c>
      <c r="I557" s="1">
        <v>2250000</v>
      </c>
      <c r="J557" s="2">
        <v>0.44884259259259257</v>
      </c>
      <c r="K557">
        <v>728852</v>
      </c>
      <c r="L557">
        <v>192</v>
      </c>
      <c r="M557" t="s">
        <v>50</v>
      </c>
      <c r="N557" t="s">
        <v>208</v>
      </c>
      <c r="P557">
        <f t="shared" si="16"/>
        <v>0</v>
      </c>
      <c r="Q557">
        <f t="shared" si="17"/>
        <v>135</v>
      </c>
    </row>
    <row r="558" spans="2:17" x14ac:dyDescent="0.25">
      <c r="B558" t="s">
        <v>51</v>
      </c>
      <c r="P558">
        <f t="shared" si="16"/>
        <v>0</v>
      </c>
      <c r="Q558">
        <f t="shared" si="17"/>
        <v>0</v>
      </c>
    </row>
    <row r="559" spans="2:17" x14ac:dyDescent="0.25">
      <c r="B559">
        <v>2445</v>
      </c>
      <c r="C559" t="s">
        <v>270</v>
      </c>
      <c r="D559" t="s">
        <v>45</v>
      </c>
      <c r="E559">
        <v>2327</v>
      </c>
      <c r="F559">
        <v>1</v>
      </c>
      <c r="G559" s="1">
        <v>1125</v>
      </c>
      <c r="H559" t="s">
        <v>49</v>
      </c>
      <c r="I559" s="1">
        <v>1125000</v>
      </c>
      <c r="J559" s="2">
        <v>0.44884259259259257</v>
      </c>
      <c r="K559">
        <v>728853</v>
      </c>
      <c r="L559">
        <v>192</v>
      </c>
      <c r="M559" t="s">
        <v>50</v>
      </c>
      <c r="N559" t="s">
        <v>208</v>
      </c>
      <c r="P559">
        <f t="shared" si="16"/>
        <v>0</v>
      </c>
      <c r="Q559">
        <f t="shared" si="17"/>
        <v>135</v>
      </c>
    </row>
    <row r="560" spans="2:17" x14ac:dyDescent="0.25">
      <c r="B560">
        <v>2447</v>
      </c>
      <c r="C560" t="s">
        <v>270</v>
      </c>
      <c r="D560" t="s">
        <v>45</v>
      </c>
      <c r="E560">
        <v>2327</v>
      </c>
      <c r="F560">
        <v>2</v>
      </c>
      <c r="G560" s="1">
        <v>1125</v>
      </c>
      <c r="H560" t="s">
        <v>49</v>
      </c>
      <c r="I560" s="1">
        <v>2250000</v>
      </c>
      <c r="J560" s="2">
        <v>0.44890046296296293</v>
      </c>
      <c r="K560">
        <v>729182</v>
      </c>
      <c r="L560">
        <v>192</v>
      </c>
      <c r="M560" t="s">
        <v>50</v>
      </c>
      <c r="N560" t="s">
        <v>208</v>
      </c>
      <c r="P560">
        <f t="shared" si="16"/>
        <v>0</v>
      </c>
      <c r="Q560">
        <f t="shared" si="17"/>
        <v>135</v>
      </c>
    </row>
    <row r="561" spans="2:17" x14ac:dyDescent="0.25">
      <c r="B561">
        <v>1865</v>
      </c>
      <c r="C561" t="s">
        <v>271</v>
      </c>
      <c r="D561" t="s">
        <v>45</v>
      </c>
      <c r="E561">
        <v>2834</v>
      </c>
      <c r="F561">
        <v>1</v>
      </c>
      <c r="G561">
        <v>9.73</v>
      </c>
      <c r="H561" t="s">
        <v>46</v>
      </c>
      <c r="I561" s="1">
        <v>9730</v>
      </c>
      <c r="J561" s="2">
        <v>0.4253703703703704</v>
      </c>
      <c r="K561">
        <v>574527</v>
      </c>
      <c r="L561">
        <v>123</v>
      </c>
      <c r="M561" t="s">
        <v>47</v>
      </c>
      <c r="N561" t="s">
        <v>208</v>
      </c>
      <c r="P561">
        <f t="shared" si="16"/>
        <v>100</v>
      </c>
      <c r="Q561">
        <f t="shared" si="17"/>
        <v>0</v>
      </c>
    </row>
    <row r="562" spans="2:17" x14ac:dyDescent="0.25">
      <c r="B562">
        <v>2702</v>
      </c>
      <c r="C562" t="s">
        <v>272</v>
      </c>
      <c r="D562" t="s">
        <v>45</v>
      </c>
      <c r="E562">
        <v>2834</v>
      </c>
      <c r="F562">
        <v>1</v>
      </c>
      <c r="G562">
        <v>9.74</v>
      </c>
      <c r="H562" t="s">
        <v>46</v>
      </c>
      <c r="I562" s="1">
        <v>9740</v>
      </c>
      <c r="J562" s="2">
        <v>0.4637384259259259</v>
      </c>
      <c r="K562">
        <v>821245</v>
      </c>
      <c r="L562">
        <v>123</v>
      </c>
      <c r="M562" t="s">
        <v>47</v>
      </c>
      <c r="N562" t="s">
        <v>208</v>
      </c>
      <c r="P562">
        <f t="shared" si="16"/>
        <v>100</v>
      </c>
      <c r="Q562">
        <f t="shared" si="17"/>
        <v>0</v>
      </c>
    </row>
    <row r="563" spans="2:17" x14ac:dyDescent="0.25">
      <c r="B563">
        <v>3007</v>
      </c>
      <c r="C563" t="s">
        <v>273</v>
      </c>
      <c r="D563" t="s">
        <v>45</v>
      </c>
      <c r="E563">
        <v>2834</v>
      </c>
      <c r="F563">
        <v>1</v>
      </c>
      <c r="G563">
        <v>9.77</v>
      </c>
      <c r="H563" t="s">
        <v>46</v>
      </c>
      <c r="I563" s="1">
        <v>9770</v>
      </c>
      <c r="J563" s="2">
        <v>0.49484953703703699</v>
      </c>
      <c r="K563">
        <v>964895</v>
      </c>
      <c r="L563">
        <v>123</v>
      </c>
      <c r="M563" t="s">
        <v>47</v>
      </c>
      <c r="N563" t="s">
        <v>208</v>
      </c>
      <c r="P563">
        <f t="shared" si="16"/>
        <v>100</v>
      </c>
      <c r="Q563">
        <f t="shared" si="17"/>
        <v>0</v>
      </c>
    </row>
    <row r="564" spans="2:17" x14ac:dyDescent="0.25">
      <c r="B564" t="s">
        <v>51</v>
      </c>
      <c r="P564">
        <f t="shared" si="16"/>
        <v>0</v>
      </c>
      <c r="Q564">
        <f t="shared" si="17"/>
        <v>0</v>
      </c>
    </row>
    <row r="565" spans="2:17" x14ac:dyDescent="0.25">
      <c r="B565">
        <v>3009</v>
      </c>
      <c r="C565" t="s">
        <v>274</v>
      </c>
      <c r="D565" t="s">
        <v>45</v>
      </c>
      <c r="E565">
        <v>2834</v>
      </c>
      <c r="F565">
        <v>1</v>
      </c>
      <c r="G565">
        <v>9.76</v>
      </c>
      <c r="H565" t="s">
        <v>46</v>
      </c>
      <c r="I565" s="1">
        <v>9760</v>
      </c>
      <c r="J565" s="2">
        <v>0.49664351851851851</v>
      </c>
      <c r="K565">
        <v>972553</v>
      </c>
      <c r="L565">
        <v>123</v>
      </c>
      <c r="M565" t="s">
        <v>47</v>
      </c>
      <c r="N565" t="s">
        <v>208</v>
      </c>
      <c r="P565">
        <f t="shared" si="16"/>
        <v>100</v>
      </c>
      <c r="Q565">
        <f t="shared" si="17"/>
        <v>0</v>
      </c>
    </row>
    <row r="566" spans="2:17" x14ac:dyDescent="0.25">
      <c r="B566">
        <v>536</v>
      </c>
      <c r="C566" t="s">
        <v>275</v>
      </c>
      <c r="D566" t="s">
        <v>45</v>
      </c>
      <c r="E566">
        <v>26095</v>
      </c>
      <c r="F566">
        <v>20</v>
      </c>
      <c r="G566">
        <v>102.75</v>
      </c>
      <c r="H566" t="s">
        <v>49</v>
      </c>
      <c r="I566" s="1">
        <v>2055000</v>
      </c>
      <c r="J566" s="2">
        <v>0.3870601851851852</v>
      </c>
      <c r="K566">
        <v>115281</v>
      </c>
      <c r="L566">
        <v>123</v>
      </c>
      <c r="M566" t="s">
        <v>47</v>
      </c>
      <c r="N566" t="s">
        <v>208</v>
      </c>
      <c r="P566">
        <f t="shared" si="16"/>
        <v>58</v>
      </c>
      <c r="Q566">
        <f t="shared" si="17"/>
        <v>263</v>
      </c>
    </row>
    <row r="567" spans="2:17" x14ac:dyDescent="0.25">
      <c r="B567">
        <v>1596</v>
      </c>
      <c r="C567" t="s">
        <v>276</v>
      </c>
      <c r="D567" t="s">
        <v>45</v>
      </c>
      <c r="E567">
        <v>2834</v>
      </c>
      <c r="F567">
        <v>1</v>
      </c>
      <c r="G567">
        <v>9.7899999999999991</v>
      </c>
      <c r="H567" t="s">
        <v>46</v>
      </c>
      <c r="I567" s="1">
        <v>9790</v>
      </c>
      <c r="J567" s="2">
        <v>0.41804398148148153</v>
      </c>
      <c r="K567">
        <v>518198</v>
      </c>
      <c r="L567">
        <v>123</v>
      </c>
      <c r="M567" t="s">
        <v>47</v>
      </c>
      <c r="N567" t="s">
        <v>208</v>
      </c>
      <c r="P567">
        <f t="shared" si="16"/>
        <v>100</v>
      </c>
      <c r="Q567">
        <f t="shared" si="17"/>
        <v>0</v>
      </c>
    </row>
    <row r="568" spans="2:17" x14ac:dyDescent="0.25">
      <c r="B568">
        <v>1626</v>
      </c>
      <c r="C568" t="s">
        <v>277</v>
      </c>
      <c r="D568" t="s">
        <v>45</v>
      </c>
      <c r="E568">
        <v>2456</v>
      </c>
      <c r="F568">
        <v>1</v>
      </c>
      <c r="G568">
        <v>200</v>
      </c>
      <c r="H568" t="s">
        <v>46</v>
      </c>
      <c r="I568" s="1">
        <v>200000</v>
      </c>
      <c r="J568" s="2">
        <v>0.41936342592592596</v>
      </c>
      <c r="K568">
        <v>527828</v>
      </c>
      <c r="L568">
        <v>191</v>
      </c>
      <c r="M568" t="s">
        <v>55</v>
      </c>
      <c r="N568" t="s">
        <v>208</v>
      </c>
      <c r="P568">
        <f t="shared" si="16"/>
        <v>10</v>
      </c>
      <c r="Q568">
        <f t="shared" si="17"/>
        <v>0</v>
      </c>
    </row>
    <row r="569" spans="2:17" x14ac:dyDescent="0.25">
      <c r="B569">
        <v>1732</v>
      </c>
      <c r="C569" t="s">
        <v>278</v>
      </c>
      <c r="D569" t="s">
        <v>45</v>
      </c>
      <c r="E569">
        <v>2834</v>
      </c>
      <c r="F569">
        <v>1</v>
      </c>
      <c r="G569">
        <v>9.77</v>
      </c>
      <c r="H569" t="s">
        <v>46</v>
      </c>
      <c r="I569" s="1">
        <v>9770</v>
      </c>
      <c r="J569" s="2">
        <v>0.42170138888888892</v>
      </c>
      <c r="K569">
        <v>543628</v>
      </c>
      <c r="L569">
        <v>123</v>
      </c>
      <c r="M569" t="s">
        <v>47</v>
      </c>
      <c r="N569" t="s">
        <v>208</v>
      </c>
      <c r="P569">
        <f t="shared" si="16"/>
        <v>100</v>
      </c>
      <c r="Q569">
        <f t="shared" si="17"/>
        <v>0</v>
      </c>
    </row>
    <row r="570" spans="2:17" x14ac:dyDescent="0.25">
      <c r="B570" t="s">
        <v>51</v>
      </c>
      <c r="P570">
        <f t="shared" si="16"/>
        <v>0</v>
      </c>
      <c r="Q570">
        <f t="shared" si="17"/>
        <v>0</v>
      </c>
    </row>
    <row r="571" spans="2:17" x14ac:dyDescent="0.25">
      <c r="B571">
        <v>2433</v>
      </c>
      <c r="C571" t="s">
        <v>279</v>
      </c>
      <c r="D571" t="s">
        <v>45</v>
      </c>
      <c r="E571">
        <v>26095</v>
      </c>
      <c r="F571">
        <v>10</v>
      </c>
      <c r="G571">
        <v>103.5</v>
      </c>
      <c r="H571" t="s">
        <v>49</v>
      </c>
      <c r="I571" s="1">
        <v>1035000</v>
      </c>
      <c r="J571" s="2">
        <v>0.44747685185185188</v>
      </c>
      <c r="K571">
        <v>339229</v>
      </c>
      <c r="L571">
        <v>123</v>
      </c>
      <c r="M571" t="s">
        <v>47</v>
      </c>
      <c r="N571" t="s">
        <v>208</v>
      </c>
      <c r="P571">
        <f t="shared" si="16"/>
        <v>58</v>
      </c>
      <c r="Q571">
        <f t="shared" si="17"/>
        <v>263</v>
      </c>
    </row>
    <row r="572" spans="2:17" x14ac:dyDescent="0.25">
      <c r="B572">
        <v>2434</v>
      </c>
      <c r="C572" t="s">
        <v>279</v>
      </c>
      <c r="D572" t="s">
        <v>45</v>
      </c>
      <c r="E572">
        <v>26095</v>
      </c>
      <c r="F572">
        <v>10</v>
      </c>
      <c r="G572">
        <v>103.5</v>
      </c>
      <c r="H572" t="s">
        <v>49</v>
      </c>
      <c r="I572" s="1">
        <v>1035000</v>
      </c>
      <c r="J572" s="2">
        <v>0.44747685185185188</v>
      </c>
      <c r="K572">
        <v>339230</v>
      </c>
      <c r="L572">
        <v>123</v>
      </c>
      <c r="M572" t="s">
        <v>47</v>
      </c>
      <c r="N572" t="s">
        <v>208</v>
      </c>
      <c r="P572">
        <f t="shared" si="16"/>
        <v>58</v>
      </c>
      <c r="Q572">
        <f t="shared" si="17"/>
        <v>263</v>
      </c>
    </row>
    <row r="573" spans="2:17" x14ac:dyDescent="0.25">
      <c r="B573">
        <v>2435</v>
      </c>
      <c r="C573" t="s">
        <v>279</v>
      </c>
      <c r="D573" t="s">
        <v>45</v>
      </c>
      <c r="E573">
        <v>26095</v>
      </c>
      <c r="F573">
        <v>20</v>
      </c>
      <c r="G573">
        <v>103.5</v>
      </c>
      <c r="H573" t="s">
        <v>49</v>
      </c>
      <c r="I573" s="1">
        <v>2070000</v>
      </c>
      <c r="J573" s="2">
        <v>0.44747685185185188</v>
      </c>
      <c r="K573">
        <v>339231</v>
      </c>
      <c r="L573">
        <v>123</v>
      </c>
      <c r="M573" t="s">
        <v>47</v>
      </c>
      <c r="N573" t="s">
        <v>208</v>
      </c>
      <c r="P573">
        <f t="shared" si="16"/>
        <v>58</v>
      </c>
      <c r="Q573">
        <f t="shared" si="17"/>
        <v>263</v>
      </c>
    </row>
    <row r="574" spans="2:17" x14ac:dyDescent="0.25">
      <c r="B574">
        <v>2459</v>
      </c>
      <c r="C574" t="s">
        <v>280</v>
      </c>
      <c r="D574" t="s">
        <v>45</v>
      </c>
      <c r="E574">
        <v>2327</v>
      </c>
      <c r="F574">
        <v>3</v>
      </c>
      <c r="G574" s="1">
        <v>1110</v>
      </c>
      <c r="H574" t="s">
        <v>49</v>
      </c>
      <c r="I574" s="1">
        <v>3330000</v>
      </c>
      <c r="J574" s="2">
        <v>0.45040509259259259</v>
      </c>
      <c r="K574">
        <v>736513</v>
      </c>
      <c r="L574">
        <v>192</v>
      </c>
      <c r="M574" t="s">
        <v>50</v>
      </c>
      <c r="N574" t="s">
        <v>208</v>
      </c>
      <c r="P574">
        <f t="shared" si="16"/>
        <v>0</v>
      </c>
      <c r="Q574">
        <f t="shared" si="17"/>
        <v>135</v>
      </c>
    </row>
    <row r="575" spans="2:17" x14ac:dyDescent="0.25">
      <c r="B575">
        <v>2942</v>
      </c>
      <c r="C575" t="s">
        <v>281</v>
      </c>
      <c r="D575" t="s">
        <v>45</v>
      </c>
      <c r="E575">
        <v>2834</v>
      </c>
      <c r="F575">
        <v>1</v>
      </c>
      <c r="G575">
        <v>9.77</v>
      </c>
      <c r="H575" t="s">
        <v>46</v>
      </c>
      <c r="I575" s="1">
        <v>9770</v>
      </c>
      <c r="J575" s="2">
        <v>0.4838541666666667</v>
      </c>
      <c r="K575">
        <v>918815</v>
      </c>
      <c r="L575">
        <v>123</v>
      </c>
      <c r="M575" t="s">
        <v>47</v>
      </c>
      <c r="N575" t="s">
        <v>208</v>
      </c>
      <c r="P575">
        <f t="shared" si="16"/>
        <v>100</v>
      </c>
      <c r="Q575">
        <f t="shared" si="17"/>
        <v>0</v>
      </c>
    </row>
    <row r="576" spans="2:17" x14ac:dyDescent="0.25">
      <c r="B576" t="s">
        <v>53</v>
      </c>
      <c r="P576">
        <f t="shared" si="16"/>
        <v>0</v>
      </c>
      <c r="Q576">
        <f t="shared" si="17"/>
        <v>0</v>
      </c>
    </row>
    <row r="577" spans="1:20" x14ac:dyDescent="0.25">
      <c r="A577" t="s">
        <v>54</v>
      </c>
      <c r="P577">
        <f t="shared" si="16"/>
        <v>0</v>
      </c>
      <c r="Q577">
        <f t="shared" si="17"/>
        <v>0</v>
      </c>
    </row>
    <row r="578" spans="1:20" x14ac:dyDescent="0.25">
      <c r="B578" t="s">
        <v>1</v>
      </c>
      <c r="C578" t="s">
        <v>2</v>
      </c>
      <c r="D578" t="s">
        <v>3</v>
      </c>
      <c r="E578" t="s">
        <v>4</v>
      </c>
      <c r="F578" t="s">
        <v>5</v>
      </c>
      <c r="G578" t="s">
        <v>6</v>
      </c>
      <c r="H578" t="s">
        <v>2</v>
      </c>
      <c r="I578">
        <v>13</v>
      </c>
      <c r="P578">
        <f t="shared" si="16"/>
        <v>0</v>
      </c>
      <c r="Q578">
        <f t="shared" si="17"/>
        <v>0</v>
      </c>
    </row>
    <row r="579" spans="1:20" x14ac:dyDescent="0.25">
      <c r="B579" t="s">
        <v>7</v>
      </c>
      <c r="C579" t="s">
        <v>2</v>
      </c>
      <c r="D579">
        <v>20180612</v>
      </c>
      <c r="E579" t="s">
        <v>8</v>
      </c>
      <c r="F579" t="s">
        <v>9</v>
      </c>
      <c r="G579" t="s">
        <v>10</v>
      </c>
      <c r="H579" t="s">
        <v>11</v>
      </c>
      <c r="I579" t="s">
        <v>12</v>
      </c>
      <c r="J579" t="s">
        <v>13</v>
      </c>
      <c r="K579" t="s">
        <v>14</v>
      </c>
      <c r="L579" t="s">
        <v>15</v>
      </c>
      <c r="M579" t="s">
        <v>16</v>
      </c>
      <c r="N579" t="s">
        <v>17</v>
      </c>
      <c r="O579" t="s">
        <v>18</v>
      </c>
      <c r="P579">
        <f t="shared" si="16"/>
        <v>0</v>
      </c>
      <c r="Q579">
        <f t="shared" si="17"/>
        <v>0</v>
      </c>
      <c r="R579" t="s">
        <v>19</v>
      </c>
      <c r="S579" t="s">
        <v>20</v>
      </c>
    </row>
    <row r="580" spans="1:20" x14ac:dyDescent="0.25">
      <c r="P580">
        <f t="shared" si="16"/>
        <v>0</v>
      </c>
      <c r="Q580">
        <f t="shared" si="17"/>
        <v>0</v>
      </c>
    </row>
    <row r="581" spans="1:20" x14ac:dyDescent="0.25">
      <c r="B581" t="s">
        <v>21</v>
      </c>
      <c r="C581" t="s">
        <v>22</v>
      </c>
      <c r="D581" t="s">
        <v>23</v>
      </c>
      <c r="E581" t="s">
        <v>24</v>
      </c>
      <c r="F581" t="s">
        <v>25</v>
      </c>
      <c r="G581" t="s">
        <v>26</v>
      </c>
      <c r="H581" t="s">
        <v>27</v>
      </c>
      <c r="I581" t="s">
        <v>28</v>
      </c>
      <c r="J581" t="s">
        <v>29</v>
      </c>
      <c r="K581" t="s">
        <v>30</v>
      </c>
      <c r="L581" t="s">
        <v>31</v>
      </c>
      <c r="M581" t="s">
        <v>32</v>
      </c>
      <c r="N581" t="s">
        <v>33</v>
      </c>
      <c r="O581" t="s">
        <v>34</v>
      </c>
      <c r="P581">
        <f t="shared" si="16"/>
        <v>0</v>
      </c>
      <c r="Q581">
        <f t="shared" si="17"/>
        <v>0</v>
      </c>
      <c r="R581" t="s">
        <v>35</v>
      </c>
      <c r="S581" t="s">
        <v>36</v>
      </c>
      <c r="T581" t="s">
        <v>37</v>
      </c>
    </row>
    <row r="582" spans="1:20" x14ac:dyDescent="0.25">
      <c r="B582" t="s">
        <v>38</v>
      </c>
      <c r="C582" t="s">
        <v>39</v>
      </c>
      <c r="D582" t="s">
        <v>38</v>
      </c>
      <c r="E582" t="s">
        <v>38</v>
      </c>
      <c r="F582" t="s">
        <v>40</v>
      </c>
      <c r="G582" t="s">
        <v>38</v>
      </c>
      <c r="H582" t="s">
        <v>41</v>
      </c>
      <c r="I582" t="s">
        <v>42</v>
      </c>
      <c r="J582" t="s">
        <v>39</v>
      </c>
      <c r="K582" t="s">
        <v>38</v>
      </c>
      <c r="L582" t="s">
        <v>38</v>
      </c>
      <c r="M582" t="s">
        <v>43</v>
      </c>
      <c r="N582" t="s">
        <v>43</v>
      </c>
      <c r="O582" t="s">
        <v>44</v>
      </c>
      <c r="P582">
        <f t="shared" si="16"/>
        <v>0</v>
      </c>
      <c r="Q582">
        <f t="shared" si="17"/>
        <v>0</v>
      </c>
    </row>
    <row r="583" spans="1:20" x14ac:dyDescent="0.25">
      <c r="B583">
        <v>3243</v>
      </c>
      <c r="C583" t="s">
        <v>282</v>
      </c>
      <c r="D583" t="s">
        <v>45</v>
      </c>
      <c r="E583">
        <v>2834</v>
      </c>
      <c r="F583">
        <v>1</v>
      </c>
      <c r="G583">
        <v>9.76</v>
      </c>
      <c r="H583" t="s">
        <v>46</v>
      </c>
      <c r="I583" s="1">
        <v>9760</v>
      </c>
      <c r="J583" s="2">
        <v>0.54054398148148153</v>
      </c>
      <c r="K583">
        <v>1162079</v>
      </c>
      <c r="L583">
        <v>123</v>
      </c>
      <c r="M583" t="s">
        <v>47</v>
      </c>
      <c r="N583" t="s">
        <v>208</v>
      </c>
      <c r="P583">
        <f t="shared" si="16"/>
        <v>100</v>
      </c>
      <c r="Q583">
        <f t="shared" si="17"/>
        <v>0</v>
      </c>
    </row>
    <row r="584" spans="1:20" x14ac:dyDescent="0.25">
      <c r="B584">
        <v>546</v>
      </c>
      <c r="C584" t="s">
        <v>283</v>
      </c>
      <c r="D584" t="s">
        <v>45</v>
      </c>
      <c r="E584">
        <v>288602</v>
      </c>
      <c r="F584">
        <v>5</v>
      </c>
      <c r="G584">
        <v>116.75</v>
      </c>
      <c r="H584" t="s">
        <v>49</v>
      </c>
      <c r="I584" s="1">
        <v>583750</v>
      </c>
      <c r="J584" s="2">
        <v>0.38807870370370368</v>
      </c>
      <c r="K584">
        <v>120667</v>
      </c>
      <c r="L584">
        <v>123</v>
      </c>
      <c r="M584" t="s">
        <v>47</v>
      </c>
      <c r="N584" t="s">
        <v>208</v>
      </c>
      <c r="P584">
        <f t="shared" ref="P584:P613" si="18">SUMIFS($F$7:$F$843,$E$7:$E$843,E584,$H$7:$H$843,"S")</f>
        <v>0</v>
      </c>
      <c r="Q584">
        <f t="shared" ref="Q584:Q613" si="19">SUMIFS($F$7:$F$843,$E$7:$E$843,E584,$H$7:$H$843,"b")</f>
        <v>15</v>
      </c>
    </row>
    <row r="585" spans="1:20" x14ac:dyDescent="0.25">
      <c r="B585">
        <v>3060</v>
      </c>
      <c r="C585" t="s">
        <v>284</v>
      </c>
      <c r="D585" t="s">
        <v>45</v>
      </c>
      <c r="E585">
        <v>2834</v>
      </c>
      <c r="F585">
        <v>1</v>
      </c>
      <c r="G585">
        <v>9.75</v>
      </c>
      <c r="H585" t="s">
        <v>46</v>
      </c>
      <c r="I585" s="1">
        <v>9750</v>
      </c>
      <c r="J585" s="2">
        <v>0.50763888888888886</v>
      </c>
      <c r="K585">
        <v>1013936</v>
      </c>
      <c r="L585">
        <v>123</v>
      </c>
      <c r="M585" t="s">
        <v>47</v>
      </c>
      <c r="N585" t="s">
        <v>208</v>
      </c>
      <c r="P585">
        <f t="shared" si="18"/>
        <v>100</v>
      </c>
      <c r="Q585">
        <f t="shared" si="19"/>
        <v>0</v>
      </c>
    </row>
    <row r="586" spans="1:20" x14ac:dyDescent="0.25">
      <c r="B586">
        <v>266</v>
      </c>
      <c r="C586" t="s">
        <v>285</v>
      </c>
      <c r="D586" t="s">
        <v>45</v>
      </c>
      <c r="E586">
        <v>2834</v>
      </c>
      <c r="F586">
        <v>1</v>
      </c>
      <c r="G586">
        <v>9.8000000000000007</v>
      </c>
      <c r="H586" t="s">
        <v>46</v>
      </c>
      <c r="I586" s="1">
        <v>9800</v>
      </c>
      <c r="J586" s="2">
        <v>0.3778009259259259</v>
      </c>
      <c r="K586">
        <v>88638</v>
      </c>
      <c r="L586">
        <v>123</v>
      </c>
      <c r="M586" t="s">
        <v>47</v>
      </c>
      <c r="N586" t="s">
        <v>208</v>
      </c>
      <c r="P586">
        <f t="shared" si="18"/>
        <v>100</v>
      </c>
      <c r="Q586">
        <f t="shared" si="19"/>
        <v>0</v>
      </c>
    </row>
    <row r="587" spans="1:20" x14ac:dyDescent="0.25">
      <c r="B587">
        <v>600</v>
      </c>
      <c r="C587" t="s">
        <v>286</v>
      </c>
      <c r="D587" t="s">
        <v>45</v>
      </c>
      <c r="E587">
        <v>2834</v>
      </c>
      <c r="F587">
        <v>1</v>
      </c>
      <c r="G587">
        <v>9.82</v>
      </c>
      <c r="H587" t="s">
        <v>46</v>
      </c>
      <c r="I587" s="1">
        <v>9820</v>
      </c>
      <c r="J587" s="2">
        <v>0.38879629629629631</v>
      </c>
      <c r="K587">
        <v>257002</v>
      </c>
      <c r="L587">
        <v>123</v>
      </c>
      <c r="M587" t="s">
        <v>47</v>
      </c>
      <c r="N587" t="s">
        <v>208</v>
      </c>
      <c r="P587">
        <f t="shared" si="18"/>
        <v>100</v>
      </c>
      <c r="Q587">
        <f t="shared" si="19"/>
        <v>0</v>
      </c>
    </row>
    <row r="588" spans="1:20" x14ac:dyDescent="0.25">
      <c r="B588" t="s">
        <v>51</v>
      </c>
      <c r="P588">
        <f t="shared" si="18"/>
        <v>0</v>
      </c>
      <c r="Q588">
        <f t="shared" si="19"/>
        <v>0</v>
      </c>
    </row>
    <row r="589" spans="1:20" x14ac:dyDescent="0.25">
      <c r="B589">
        <v>2450</v>
      </c>
      <c r="C589" t="s">
        <v>287</v>
      </c>
      <c r="D589" t="s">
        <v>45</v>
      </c>
      <c r="E589">
        <v>2834</v>
      </c>
      <c r="F589">
        <v>1</v>
      </c>
      <c r="G589">
        <v>9.75</v>
      </c>
      <c r="H589" t="s">
        <v>46</v>
      </c>
      <c r="I589" s="1">
        <v>9750</v>
      </c>
      <c r="J589" s="2">
        <v>0.44914351851851847</v>
      </c>
      <c r="K589">
        <v>730400</v>
      </c>
      <c r="L589">
        <v>123</v>
      </c>
      <c r="M589" t="s">
        <v>47</v>
      </c>
      <c r="N589" t="s">
        <v>208</v>
      </c>
      <c r="P589">
        <f t="shared" si="18"/>
        <v>100</v>
      </c>
      <c r="Q589">
        <f t="shared" si="19"/>
        <v>0</v>
      </c>
    </row>
    <row r="590" spans="1:20" x14ac:dyDescent="0.25">
      <c r="B590">
        <v>3206</v>
      </c>
      <c r="C590" t="s">
        <v>288</v>
      </c>
      <c r="D590" t="s">
        <v>45</v>
      </c>
      <c r="E590">
        <v>2834</v>
      </c>
      <c r="F590">
        <v>1</v>
      </c>
      <c r="G590">
        <v>9.77</v>
      </c>
      <c r="H590" t="s">
        <v>46</v>
      </c>
      <c r="I590" s="1">
        <v>9770</v>
      </c>
      <c r="J590" s="2">
        <v>0.53687499999999999</v>
      </c>
      <c r="K590">
        <v>1140737</v>
      </c>
      <c r="L590">
        <v>123</v>
      </c>
      <c r="M590" t="s">
        <v>47</v>
      </c>
      <c r="N590" t="s">
        <v>208</v>
      </c>
      <c r="P590">
        <f t="shared" si="18"/>
        <v>100</v>
      </c>
      <c r="Q590">
        <f t="shared" si="19"/>
        <v>0</v>
      </c>
    </row>
    <row r="591" spans="1:20" x14ac:dyDescent="0.25">
      <c r="B591">
        <v>3506</v>
      </c>
      <c r="C591" t="s">
        <v>289</v>
      </c>
      <c r="D591" t="s">
        <v>45</v>
      </c>
      <c r="E591">
        <v>26095</v>
      </c>
      <c r="F591">
        <v>1</v>
      </c>
      <c r="G591">
        <v>104.15</v>
      </c>
      <c r="H591" t="s">
        <v>49</v>
      </c>
      <c r="I591" s="1">
        <v>104150</v>
      </c>
      <c r="J591" s="2">
        <v>0.55532407407407403</v>
      </c>
      <c r="K591">
        <v>535677</v>
      </c>
      <c r="L591">
        <v>123</v>
      </c>
      <c r="M591" t="s">
        <v>47</v>
      </c>
      <c r="N591" t="s">
        <v>208</v>
      </c>
      <c r="P591">
        <f t="shared" si="18"/>
        <v>58</v>
      </c>
      <c r="Q591">
        <f t="shared" si="19"/>
        <v>263</v>
      </c>
    </row>
    <row r="592" spans="1:20" x14ac:dyDescent="0.25">
      <c r="B592">
        <v>3507</v>
      </c>
      <c r="C592" t="s">
        <v>289</v>
      </c>
      <c r="D592" t="s">
        <v>45</v>
      </c>
      <c r="E592">
        <v>26095</v>
      </c>
      <c r="F592">
        <v>5</v>
      </c>
      <c r="G592">
        <v>104.15</v>
      </c>
      <c r="H592" t="s">
        <v>49</v>
      </c>
      <c r="I592" s="1">
        <v>520750</v>
      </c>
      <c r="J592" s="2">
        <v>0.55532407407407403</v>
      </c>
      <c r="K592">
        <v>535678</v>
      </c>
      <c r="L592">
        <v>123</v>
      </c>
      <c r="M592" t="s">
        <v>47</v>
      </c>
      <c r="N592" t="s">
        <v>208</v>
      </c>
      <c r="P592">
        <f t="shared" si="18"/>
        <v>58</v>
      </c>
      <c r="Q592">
        <f t="shared" si="19"/>
        <v>263</v>
      </c>
    </row>
    <row r="593" spans="2:17" x14ac:dyDescent="0.25">
      <c r="B593">
        <v>3508</v>
      </c>
      <c r="C593" t="s">
        <v>289</v>
      </c>
      <c r="D593" t="s">
        <v>45</v>
      </c>
      <c r="E593">
        <v>26095</v>
      </c>
      <c r="F593">
        <v>10</v>
      </c>
      <c r="G593">
        <v>104.15</v>
      </c>
      <c r="H593" t="s">
        <v>49</v>
      </c>
      <c r="I593" s="1">
        <v>1041500</v>
      </c>
      <c r="J593" s="2">
        <v>0.55532407407407403</v>
      </c>
      <c r="K593">
        <v>535679</v>
      </c>
      <c r="L593">
        <v>123</v>
      </c>
      <c r="M593" t="s">
        <v>47</v>
      </c>
      <c r="N593" t="s">
        <v>208</v>
      </c>
      <c r="P593">
        <f t="shared" si="18"/>
        <v>58</v>
      </c>
      <c r="Q593">
        <f t="shared" si="19"/>
        <v>263</v>
      </c>
    </row>
    <row r="594" spans="2:17" x14ac:dyDescent="0.25">
      <c r="B594" t="s">
        <v>51</v>
      </c>
      <c r="P594">
        <f t="shared" si="18"/>
        <v>0</v>
      </c>
      <c r="Q594">
        <f t="shared" si="19"/>
        <v>0</v>
      </c>
    </row>
    <row r="595" spans="2:17" x14ac:dyDescent="0.25">
      <c r="B595">
        <v>3509</v>
      </c>
      <c r="C595" t="s">
        <v>289</v>
      </c>
      <c r="D595" t="s">
        <v>45</v>
      </c>
      <c r="E595">
        <v>26095</v>
      </c>
      <c r="F595">
        <v>14</v>
      </c>
      <c r="G595">
        <v>104.15</v>
      </c>
      <c r="H595" t="s">
        <v>49</v>
      </c>
      <c r="I595" s="1">
        <v>1458100</v>
      </c>
      <c r="J595" s="2">
        <v>0.55532407407407403</v>
      </c>
      <c r="K595">
        <v>535680</v>
      </c>
      <c r="L595">
        <v>123</v>
      </c>
      <c r="M595" t="s">
        <v>47</v>
      </c>
      <c r="N595" t="s">
        <v>208</v>
      </c>
      <c r="P595">
        <f t="shared" si="18"/>
        <v>58</v>
      </c>
      <c r="Q595">
        <f t="shared" si="19"/>
        <v>263</v>
      </c>
    </row>
    <row r="596" spans="2:17" x14ac:dyDescent="0.25">
      <c r="B596">
        <v>396</v>
      </c>
      <c r="C596" t="s">
        <v>290</v>
      </c>
      <c r="D596" t="s">
        <v>45</v>
      </c>
      <c r="E596">
        <v>2834</v>
      </c>
      <c r="F596">
        <v>1</v>
      </c>
      <c r="G596">
        <v>9.83</v>
      </c>
      <c r="H596" t="s">
        <v>46</v>
      </c>
      <c r="I596" s="1">
        <v>9830</v>
      </c>
      <c r="J596" s="2">
        <v>0.38146990740740744</v>
      </c>
      <c r="K596">
        <v>152867</v>
      </c>
      <c r="L596">
        <v>123</v>
      </c>
      <c r="M596" t="s">
        <v>47</v>
      </c>
      <c r="N596" t="s">
        <v>208</v>
      </c>
      <c r="P596">
        <f t="shared" si="18"/>
        <v>100</v>
      </c>
      <c r="Q596">
        <f t="shared" si="19"/>
        <v>0</v>
      </c>
    </row>
    <row r="597" spans="2:17" x14ac:dyDescent="0.25">
      <c r="B597">
        <v>2513</v>
      </c>
      <c r="C597" t="s">
        <v>291</v>
      </c>
      <c r="D597" t="s">
        <v>45</v>
      </c>
      <c r="E597">
        <v>2327</v>
      </c>
      <c r="F597">
        <v>2</v>
      </c>
      <c r="G597" s="1">
        <v>1110</v>
      </c>
      <c r="H597" t="s">
        <v>49</v>
      </c>
      <c r="I597" s="1">
        <v>2220000</v>
      </c>
      <c r="J597" s="2">
        <v>0.4529050925925926</v>
      </c>
      <c r="K597">
        <v>756419</v>
      </c>
      <c r="L597">
        <v>192</v>
      </c>
      <c r="M597" t="s">
        <v>50</v>
      </c>
      <c r="N597" t="s">
        <v>208</v>
      </c>
      <c r="P597">
        <f t="shared" si="18"/>
        <v>0</v>
      </c>
      <c r="Q597">
        <f t="shared" si="19"/>
        <v>135</v>
      </c>
    </row>
    <row r="598" spans="2:17" x14ac:dyDescent="0.25">
      <c r="B598">
        <v>2514</v>
      </c>
      <c r="C598" t="s">
        <v>291</v>
      </c>
      <c r="D598" t="s">
        <v>45</v>
      </c>
      <c r="E598">
        <v>2327</v>
      </c>
      <c r="F598">
        <v>1</v>
      </c>
      <c r="G598" s="1">
        <v>1110</v>
      </c>
      <c r="H598" t="s">
        <v>49</v>
      </c>
      <c r="I598" s="1">
        <v>1110000</v>
      </c>
      <c r="J598" s="2">
        <v>0.4529050925925926</v>
      </c>
      <c r="K598">
        <v>756420</v>
      </c>
      <c r="L598">
        <v>192</v>
      </c>
      <c r="M598" t="s">
        <v>50</v>
      </c>
      <c r="N598" t="s">
        <v>208</v>
      </c>
      <c r="P598">
        <f t="shared" si="18"/>
        <v>0</v>
      </c>
      <c r="Q598">
        <f t="shared" si="19"/>
        <v>135</v>
      </c>
    </row>
    <row r="599" spans="2:17" x14ac:dyDescent="0.25">
      <c r="B599">
        <v>2515</v>
      </c>
      <c r="C599" t="s">
        <v>291</v>
      </c>
      <c r="D599" t="s">
        <v>45</v>
      </c>
      <c r="E599">
        <v>2327</v>
      </c>
      <c r="F599">
        <v>1</v>
      </c>
      <c r="G599" s="1">
        <v>1110</v>
      </c>
      <c r="H599" t="s">
        <v>49</v>
      </c>
      <c r="I599" s="1">
        <v>1110000</v>
      </c>
      <c r="J599" s="2">
        <v>0.4529050925925926</v>
      </c>
      <c r="K599">
        <v>756421</v>
      </c>
      <c r="L599">
        <v>192</v>
      </c>
      <c r="M599" t="s">
        <v>50</v>
      </c>
      <c r="N599" t="s">
        <v>208</v>
      </c>
      <c r="P599">
        <f t="shared" si="18"/>
        <v>0</v>
      </c>
      <c r="Q599">
        <f t="shared" si="19"/>
        <v>135</v>
      </c>
    </row>
    <row r="600" spans="2:17" x14ac:dyDescent="0.25">
      <c r="B600" t="s">
        <v>51</v>
      </c>
      <c r="P600">
        <f t="shared" si="18"/>
        <v>0</v>
      </c>
      <c r="Q600">
        <f t="shared" si="19"/>
        <v>0</v>
      </c>
    </row>
    <row r="601" spans="2:17" x14ac:dyDescent="0.25">
      <c r="B601">
        <v>2516</v>
      </c>
      <c r="C601" t="s">
        <v>291</v>
      </c>
      <c r="D601" t="s">
        <v>45</v>
      </c>
      <c r="E601">
        <v>2327</v>
      </c>
      <c r="F601">
        <v>1</v>
      </c>
      <c r="G601" s="1">
        <v>1110</v>
      </c>
      <c r="H601" t="s">
        <v>49</v>
      </c>
      <c r="I601" s="1">
        <v>1110000</v>
      </c>
      <c r="J601" s="2">
        <v>0.4529050925925926</v>
      </c>
      <c r="K601">
        <v>756422</v>
      </c>
      <c r="L601">
        <v>192</v>
      </c>
      <c r="M601" t="s">
        <v>50</v>
      </c>
      <c r="N601" t="s">
        <v>208</v>
      </c>
      <c r="P601">
        <f t="shared" si="18"/>
        <v>0</v>
      </c>
      <c r="Q601">
        <f t="shared" si="19"/>
        <v>135</v>
      </c>
    </row>
    <row r="602" spans="2:17" x14ac:dyDescent="0.25">
      <c r="B602">
        <v>2674</v>
      </c>
      <c r="C602" t="s">
        <v>292</v>
      </c>
      <c r="D602" t="s">
        <v>45</v>
      </c>
      <c r="E602">
        <v>2834</v>
      </c>
      <c r="F602">
        <v>1</v>
      </c>
      <c r="G602">
        <v>9.75</v>
      </c>
      <c r="H602" t="s">
        <v>46</v>
      </c>
      <c r="I602" s="1">
        <v>9750</v>
      </c>
      <c r="J602" s="2">
        <v>0.46008101851851851</v>
      </c>
      <c r="K602">
        <v>802569</v>
      </c>
      <c r="L602">
        <v>123</v>
      </c>
      <c r="M602" t="s">
        <v>47</v>
      </c>
      <c r="N602" t="s">
        <v>208</v>
      </c>
      <c r="P602">
        <f t="shared" si="18"/>
        <v>100</v>
      </c>
      <c r="Q602">
        <f t="shared" si="19"/>
        <v>0</v>
      </c>
    </row>
    <row r="603" spans="2:17" x14ac:dyDescent="0.25">
      <c r="B603">
        <v>2731</v>
      </c>
      <c r="C603" t="s">
        <v>293</v>
      </c>
      <c r="D603" t="s">
        <v>45</v>
      </c>
      <c r="E603">
        <v>2834</v>
      </c>
      <c r="F603">
        <v>1</v>
      </c>
      <c r="G603">
        <v>9.74</v>
      </c>
      <c r="H603" t="s">
        <v>46</v>
      </c>
      <c r="I603" s="1">
        <v>9740</v>
      </c>
      <c r="J603" s="2">
        <v>0.46560185185185188</v>
      </c>
      <c r="K603">
        <v>830395</v>
      </c>
      <c r="L603">
        <v>123</v>
      </c>
      <c r="M603" t="s">
        <v>47</v>
      </c>
      <c r="N603" t="s">
        <v>208</v>
      </c>
      <c r="P603">
        <f t="shared" si="18"/>
        <v>100</v>
      </c>
      <c r="Q603">
        <f t="shared" si="19"/>
        <v>0</v>
      </c>
    </row>
    <row r="604" spans="2:17" x14ac:dyDescent="0.25">
      <c r="B604">
        <v>49</v>
      </c>
      <c r="C604" t="s">
        <v>294</v>
      </c>
      <c r="D604" t="s">
        <v>45</v>
      </c>
      <c r="E604">
        <v>2330</v>
      </c>
      <c r="F604">
        <v>22</v>
      </c>
      <c r="G604">
        <v>225</v>
      </c>
      <c r="H604" t="s">
        <v>49</v>
      </c>
      <c r="I604" s="1">
        <v>4950000</v>
      </c>
      <c r="J604" s="2">
        <v>0.37501157407407404</v>
      </c>
      <c r="K604">
        <v>7002</v>
      </c>
      <c r="L604">
        <v>192</v>
      </c>
      <c r="M604" t="s">
        <v>50</v>
      </c>
      <c r="N604" t="s">
        <v>208</v>
      </c>
      <c r="P604">
        <f t="shared" si="18"/>
        <v>0</v>
      </c>
      <c r="Q604">
        <f t="shared" si="19"/>
        <v>100</v>
      </c>
    </row>
    <row r="605" spans="2:17" x14ac:dyDescent="0.25">
      <c r="B605">
        <v>50</v>
      </c>
      <c r="C605" t="s">
        <v>294</v>
      </c>
      <c r="D605" t="s">
        <v>45</v>
      </c>
      <c r="E605">
        <v>2330</v>
      </c>
      <c r="F605">
        <v>46</v>
      </c>
      <c r="G605">
        <v>225</v>
      </c>
      <c r="H605" t="s">
        <v>49</v>
      </c>
      <c r="I605" s="1">
        <v>10350000</v>
      </c>
      <c r="J605" s="2">
        <v>0.37501157407407404</v>
      </c>
      <c r="K605">
        <v>7003</v>
      </c>
      <c r="L605">
        <v>192</v>
      </c>
      <c r="M605" t="s">
        <v>50</v>
      </c>
      <c r="N605" t="s">
        <v>208</v>
      </c>
      <c r="P605">
        <f t="shared" si="18"/>
        <v>0</v>
      </c>
      <c r="Q605">
        <f t="shared" si="19"/>
        <v>100</v>
      </c>
    </row>
    <row r="606" spans="2:17" x14ac:dyDescent="0.25">
      <c r="B606" t="s">
        <v>51</v>
      </c>
      <c r="P606">
        <f t="shared" si="18"/>
        <v>0</v>
      </c>
      <c r="Q606">
        <f t="shared" si="19"/>
        <v>0</v>
      </c>
    </row>
    <row r="607" spans="2:17" x14ac:dyDescent="0.25">
      <c r="B607">
        <v>1190</v>
      </c>
      <c r="C607" t="s">
        <v>295</v>
      </c>
      <c r="D607" t="s">
        <v>45</v>
      </c>
      <c r="E607">
        <v>2834</v>
      </c>
      <c r="F607">
        <v>1</v>
      </c>
      <c r="G607">
        <v>9.8000000000000007</v>
      </c>
      <c r="H607" t="s">
        <v>46</v>
      </c>
      <c r="I607" s="1">
        <v>9800</v>
      </c>
      <c r="J607" s="2">
        <v>0.40704861111111112</v>
      </c>
      <c r="K607">
        <v>428757</v>
      </c>
      <c r="L607">
        <v>123</v>
      </c>
      <c r="M607" t="s">
        <v>47</v>
      </c>
      <c r="N607" t="s">
        <v>208</v>
      </c>
      <c r="P607">
        <f t="shared" si="18"/>
        <v>100</v>
      </c>
      <c r="Q607">
        <f t="shared" si="19"/>
        <v>0</v>
      </c>
    </row>
    <row r="608" spans="2:17" x14ac:dyDescent="0.25">
      <c r="B608">
        <v>1265</v>
      </c>
      <c r="C608" t="s">
        <v>296</v>
      </c>
      <c r="D608" t="s">
        <v>45</v>
      </c>
      <c r="E608">
        <v>2834</v>
      </c>
      <c r="F608">
        <v>1</v>
      </c>
      <c r="G608">
        <v>9.8000000000000007</v>
      </c>
      <c r="H608" t="s">
        <v>46</v>
      </c>
      <c r="I608" s="1">
        <v>9800</v>
      </c>
      <c r="J608" s="2">
        <v>0.41071759259259261</v>
      </c>
      <c r="K608">
        <v>457353</v>
      </c>
      <c r="L608">
        <v>123</v>
      </c>
      <c r="M608" t="s">
        <v>47</v>
      </c>
      <c r="N608" t="s">
        <v>208</v>
      </c>
      <c r="P608">
        <f t="shared" si="18"/>
        <v>100</v>
      </c>
      <c r="Q608">
        <f t="shared" si="19"/>
        <v>0</v>
      </c>
    </row>
    <row r="609" spans="1:17" x14ac:dyDescent="0.25">
      <c r="B609">
        <v>2162</v>
      </c>
      <c r="C609" t="s">
        <v>297</v>
      </c>
      <c r="D609" t="s">
        <v>45</v>
      </c>
      <c r="E609">
        <v>24565</v>
      </c>
      <c r="F609">
        <v>1</v>
      </c>
      <c r="G609">
        <v>215</v>
      </c>
      <c r="H609" t="s">
        <v>46</v>
      </c>
      <c r="I609" s="1">
        <v>215000</v>
      </c>
      <c r="J609" s="2">
        <v>0.43881944444444443</v>
      </c>
      <c r="K609">
        <v>314700</v>
      </c>
      <c r="L609">
        <v>123</v>
      </c>
      <c r="M609" t="s">
        <v>47</v>
      </c>
      <c r="N609" t="s">
        <v>208</v>
      </c>
      <c r="P609">
        <f t="shared" si="18"/>
        <v>4</v>
      </c>
      <c r="Q609">
        <f t="shared" si="19"/>
        <v>0</v>
      </c>
    </row>
    <row r="610" spans="1:17" x14ac:dyDescent="0.25">
      <c r="B610">
        <v>504</v>
      </c>
      <c r="C610" t="s">
        <v>298</v>
      </c>
      <c r="D610" t="s">
        <v>45</v>
      </c>
      <c r="E610">
        <v>36912</v>
      </c>
      <c r="F610">
        <v>1</v>
      </c>
      <c r="G610">
        <v>83.5</v>
      </c>
      <c r="H610" t="s">
        <v>46</v>
      </c>
      <c r="I610" s="1">
        <v>83500</v>
      </c>
      <c r="J610" s="2">
        <v>0.38556712962962963</v>
      </c>
      <c r="K610">
        <v>105123</v>
      </c>
      <c r="L610">
        <v>20</v>
      </c>
      <c r="M610" t="s">
        <v>48</v>
      </c>
      <c r="N610" t="s">
        <v>208</v>
      </c>
      <c r="P610">
        <f t="shared" si="18"/>
        <v>12</v>
      </c>
      <c r="Q610">
        <f t="shared" si="19"/>
        <v>0</v>
      </c>
    </row>
    <row r="611" spans="1:17" x14ac:dyDescent="0.25">
      <c r="B611">
        <v>2437</v>
      </c>
      <c r="C611" t="s">
        <v>299</v>
      </c>
      <c r="D611" t="s">
        <v>45</v>
      </c>
      <c r="E611">
        <v>26095</v>
      </c>
      <c r="F611">
        <v>10</v>
      </c>
      <c r="G611">
        <v>103.5</v>
      </c>
      <c r="H611" t="s">
        <v>46</v>
      </c>
      <c r="I611" s="1">
        <v>1035000</v>
      </c>
      <c r="J611" s="2">
        <v>0.44747685185185188</v>
      </c>
      <c r="K611">
        <v>339229</v>
      </c>
      <c r="L611">
        <v>20</v>
      </c>
      <c r="M611" t="s">
        <v>48</v>
      </c>
      <c r="N611" t="s">
        <v>208</v>
      </c>
      <c r="P611">
        <f t="shared" si="18"/>
        <v>58</v>
      </c>
      <c r="Q611">
        <f t="shared" si="19"/>
        <v>263</v>
      </c>
    </row>
    <row r="612" spans="1:17" x14ac:dyDescent="0.25">
      <c r="B612" t="s">
        <v>51</v>
      </c>
      <c r="P612">
        <f t="shared" si="18"/>
        <v>0</v>
      </c>
      <c r="Q612">
        <f t="shared" si="19"/>
        <v>0</v>
      </c>
    </row>
    <row r="613" spans="1:17" x14ac:dyDescent="0.25">
      <c r="B613">
        <v>2461</v>
      </c>
      <c r="C613" t="s">
        <v>300</v>
      </c>
      <c r="D613" t="s">
        <v>45</v>
      </c>
      <c r="E613">
        <v>2327</v>
      </c>
      <c r="F613">
        <v>3</v>
      </c>
      <c r="G613" s="1">
        <v>1110</v>
      </c>
      <c r="H613" t="s">
        <v>49</v>
      </c>
      <c r="I613" s="1">
        <v>3330000</v>
      </c>
      <c r="J613" s="2">
        <v>0.45052083333333331</v>
      </c>
      <c r="K613">
        <v>737294</v>
      </c>
      <c r="L613">
        <v>192</v>
      </c>
      <c r="M613" t="s">
        <v>50</v>
      </c>
      <c r="N613" t="s">
        <v>208</v>
      </c>
      <c r="P613">
        <f t="shared" si="18"/>
        <v>0</v>
      </c>
      <c r="Q613">
        <f t="shared" si="19"/>
        <v>135</v>
      </c>
    </row>
    <row r="614" spans="1:17" x14ac:dyDescent="0.25">
      <c r="B614" t="s">
        <v>53</v>
      </c>
    </row>
    <row r="616" spans="1:17" x14ac:dyDescent="0.25">
      <c r="B616" t="s">
        <v>301</v>
      </c>
      <c r="C616" t="s">
        <v>302</v>
      </c>
      <c r="D616" t="s">
        <v>303</v>
      </c>
      <c r="E616" t="s">
        <v>304</v>
      </c>
      <c r="F616" t="s">
        <v>305</v>
      </c>
      <c r="G616" t="s">
        <v>306</v>
      </c>
      <c r="H616" t="s">
        <v>307</v>
      </c>
      <c r="I616" t="s">
        <v>308</v>
      </c>
      <c r="J616" t="s">
        <v>309</v>
      </c>
      <c r="K616" t="s">
        <v>310</v>
      </c>
    </row>
    <row r="617" spans="1:17" x14ac:dyDescent="0.25">
      <c r="A617" t="s">
        <v>54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"/>
  <sheetViews>
    <sheetView tabSelected="1" topLeftCell="B46" workbookViewId="0">
      <selection activeCell="Q73" sqref="Q73"/>
    </sheetView>
  </sheetViews>
  <sheetFormatPr defaultRowHeight="16.5" x14ac:dyDescent="0.25"/>
  <cols>
    <col min="9" max="9" width="9" style="3"/>
  </cols>
  <sheetData>
    <row r="1" spans="1:16" x14ac:dyDescent="0.25">
      <c r="A1">
        <v>455</v>
      </c>
      <c r="B1" t="s">
        <v>150</v>
      </c>
      <c r="C1" t="s">
        <v>45</v>
      </c>
      <c r="D1">
        <v>2340</v>
      </c>
      <c r="E1">
        <v>2</v>
      </c>
      <c r="F1">
        <v>27.7</v>
      </c>
      <c r="G1" t="s">
        <v>46</v>
      </c>
      <c r="H1">
        <v>55400</v>
      </c>
      <c r="I1" s="3">
        <v>0.39111111111111113</v>
      </c>
      <c r="J1">
        <v>284190</v>
      </c>
      <c r="K1">
        <v>361</v>
      </c>
      <c r="L1" t="s">
        <v>142</v>
      </c>
      <c r="M1">
        <v>361</v>
      </c>
      <c r="O1">
        <v>2340</v>
      </c>
      <c r="P1">
        <v>2</v>
      </c>
    </row>
    <row r="2" spans="1:16" x14ac:dyDescent="0.25">
      <c r="A2">
        <v>2827</v>
      </c>
      <c r="B2" t="s">
        <v>190</v>
      </c>
      <c r="C2" t="s">
        <v>45</v>
      </c>
      <c r="D2">
        <v>2340</v>
      </c>
      <c r="E2">
        <v>1</v>
      </c>
      <c r="F2">
        <v>27.55</v>
      </c>
      <c r="G2" t="s">
        <v>49</v>
      </c>
      <c r="H2">
        <v>27550</v>
      </c>
      <c r="I2" s="3">
        <v>0.4861226851851852</v>
      </c>
      <c r="J2">
        <v>927944</v>
      </c>
      <c r="K2">
        <v>361</v>
      </c>
      <c r="L2" t="s">
        <v>142</v>
      </c>
      <c r="M2">
        <v>361</v>
      </c>
      <c r="O2">
        <v>2340</v>
      </c>
      <c r="P2">
        <v>2</v>
      </c>
    </row>
    <row r="3" spans="1:16" x14ac:dyDescent="0.25">
      <c r="A3">
        <v>2828</v>
      </c>
      <c r="B3" t="s">
        <v>190</v>
      </c>
      <c r="C3" t="s">
        <v>45</v>
      </c>
      <c r="D3">
        <v>2340</v>
      </c>
      <c r="E3">
        <v>1</v>
      </c>
      <c r="F3">
        <v>27.55</v>
      </c>
      <c r="G3" t="s">
        <v>49</v>
      </c>
      <c r="H3">
        <v>27550</v>
      </c>
      <c r="I3" s="3">
        <v>0.4861226851851852</v>
      </c>
      <c r="J3">
        <v>927945</v>
      </c>
      <c r="K3">
        <v>361</v>
      </c>
      <c r="L3" t="s">
        <v>142</v>
      </c>
      <c r="M3">
        <v>361</v>
      </c>
      <c r="O3">
        <v>2340</v>
      </c>
      <c r="P3">
        <v>2</v>
      </c>
    </row>
    <row r="4" spans="1:16" x14ac:dyDescent="0.25">
      <c r="A4">
        <v>2829</v>
      </c>
      <c r="B4" t="s">
        <v>191</v>
      </c>
      <c r="C4" t="s">
        <v>45</v>
      </c>
      <c r="D4">
        <v>2340</v>
      </c>
      <c r="E4">
        <v>2</v>
      </c>
      <c r="F4">
        <v>27.55</v>
      </c>
      <c r="G4" t="s">
        <v>49</v>
      </c>
      <c r="H4">
        <v>55100</v>
      </c>
      <c r="I4" s="3">
        <v>0.48618055555555556</v>
      </c>
      <c r="J4">
        <v>928177</v>
      </c>
      <c r="K4">
        <v>361</v>
      </c>
      <c r="L4" t="s">
        <v>142</v>
      </c>
      <c r="M4">
        <v>361</v>
      </c>
      <c r="O4">
        <v>2340</v>
      </c>
      <c r="P4">
        <v>2</v>
      </c>
    </row>
    <row r="5" spans="1:16" x14ac:dyDescent="0.25">
      <c r="A5">
        <v>446</v>
      </c>
      <c r="B5" t="s">
        <v>147</v>
      </c>
      <c r="C5" t="s">
        <v>45</v>
      </c>
      <c r="D5">
        <v>3443</v>
      </c>
      <c r="E5">
        <v>2</v>
      </c>
      <c r="F5">
        <v>294.5</v>
      </c>
      <c r="G5" t="s">
        <v>49</v>
      </c>
      <c r="H5">
        <v>589000</v>
      </c>
      <c r="I5" s="3">
        <v>0.38827546296296295</v>
      </c>
      <c r="J5">
        <v>249093</v>
      </c>
      <c r="K5">
        <v>361</v>
      </c>
      <c r="L5" t="s">
        <v>142</v>
      </c>
      <c r="M5">
        <v>361</v>
      </c>
      <c r="O5">
        <v>3443</v>
      </c>
      <c r="P5">
        <v>2</v>
      </c>
    </row>
    <row r="6" spans="1:16" x14ac:dyDescent="0.25">
      <c r="A6">
        <v>452</v>
      </c>
      <c r="B6" t="s">
        <v>149</v>
      </c>
      <c r="C6" t="s">
        <v>45</v>
      </c>
      <c r="D6">
        <v>3443</v>
      </c>
      <c r="E6">
        <v>1</v>
      </c>
      <c r="F6">
        <v>293</v>
      </c>
      <c r="G6" t="s">
        <v>49</v>
      </c>
      <c r="H6">
        <v>293000</v>
      </c>
      <c r="I6" s="3">
        <v>0.38915509259259262</v>
      </c>
      <c r="J6">
        <v>262172</v>
      </c>
      <c r="K6">
        <v>361</v>
      </c>
      <c r="L6" t="s">
        <v>142</v>
      </c>
      <c r="M6">
        <v>361</v>
      </c>
      <c r="O6">
        <v>3443</v>
      </c>
      <c r="P6">
        <v>2</v>
      </c>
    </row>
    <row r="7" spans="1:16" x14ac:dyDescent="0.25">
      <c r="A7">
        <v>451</v>
      </c>
      <c r="B7" t="s">
        <v>149</v>
      </c>
      <c r="C7" t="s">
        <v>45</v>
      </c>
      <c r="D7">
        <v>3443</v>
      </c>
      <c r="E7">
        <v>1</v>
      </c>
      <c r="F7">
        <v>294</v>
      </c>
      <c r="G7" t="s">
        <v>49</v>
      </c>
      <c r="H7">
        <v>294000</v>
      </c>
      <c r="I7" s="3">
        <v>0.38909722222222221</v>
      </c>
      <c r="J7">
        <v>261420</v>
      </c>
      <c r="K7">
        <v>361</v>
      </c>
      <c r="L7" t="s">
        <v>142</v>
      </c>
      <c r="M7">
        <v>361</v>
      </c>
      <c r="O7">
        <v>3443</v>
      </c>
      <c r="P7">
        <v>2</v>
      </c>
    </row>
    <row r="8" spans="1:16" x14ac:dyDescent="0.25">
      <c r="A8">
        <v>1076</v>
      </c>
      <c r="B8" t="s">
        <v>154</v>
      </c>
      <c r="C8" t="s">
        <v>45</v>
      </c>
      <c r="D8">
        <v>3443</v>
      </c>
      <c r="E8">
        <v>2</v>
      </c>
      <c r="F8">
        <v>291.5</v>
      </c>
      <c r="G8" t="s">
        <v>49</v>
      </c>
      <c r="H8">
        <v>583000</v>
      </c>
      <c r="I8" s="3">
        <v>0.41350694444444441</v>
      </c>
      <c r="J8">
        <v>484755</v>
      </c>
      <c r="K8">
        <v>361</v>
      </c>
      <c r="L8" t="s">
        <v>142</v>
      </c>
      <c r="M8">
        <v>361</v>
      </c>
      <c r="O8">
        <v>3443</v>
      </c>
      <c r="P8">
        <v>2</v>
      </c>
    </row>
    <row r="9" spans="1:16" x14ac:dyDescent="0.25">
      <c r="A9">
        <v>1081</v>
      </c>
      <c r="B9" t="s">
        <v>155</v>
      </c>
      <c r="C9" t="s">
        <v>45</v>
      </c>
      <c r="D9">
        <v>3443</v>
      </c>
      <c r="E9">
        <v>1</v>
      </c>
      <c r="F9">
        <v>291.5</v>
      </c>
      <c r="G9" t="s">
        <v>49</v>
      </c>
      <c r="H9">
        <v>291500</v>
      </c>
      <c r="I9" s="3">
        <v>0.41392361111111109</v>
      </c>
      <c r="J9">
        <v>487991</v>
      </c>
      <c r="K9">
        <v>361</v>
      </c>
      <c r="L9" t="s">
        <v>142</v>
      </c>
      <c r="M9">
        <v>361</v>
      </c>
      <c r="O9">
        <v>3443</v>
      </c>
      <c r="P9">
        <v>2</v>
      </c>
    </row>
    <row r="10" spans="1:16" x14ac:dyDescent="0.25">
      <c r="A10">
        <v>1082</v>
      </c>
      <c r="B10" t="s">
        <v>155</v>
      </c>
      <c r="C10" t="s">
        <v>45</v>
      </c>
      <c r="D10">
        <v>3443</v>
      </c>
      <c r="E10">
        <v>1</v>
      </c>
      <c r="F10">
        <v>291.5</v>
      </c>
      <c r="G10" t="s">
        <v>49</v>
      </c>
      <c r="H10">
        <v>291500</v>
      </c>
      <c r="I10" s="3">
        <v>0.41392361111111109</v>
      </c>
      <c r="J10">
        <v>487992</v>
      </c>
      <c r="K10">
        <v>361</v>
      </c>
      <c r="L10" t="s">
        <v>142</v>
      </c>
      <c r="M10">
        <v>361</v>
      </c>
      <c r="O10">
        <v>3443</v>
      </c>
      <c r="P10">
        <v>2</v>
      </c>
    </row>
    <row r="11" spans="1:16" x14ac:dyDescent="0.25">
      <c r="A11">
        <v>2339</v>
      </c>
      <c r="B11" t="s">
        <v>170</v>
      </c>
      <c r="C11" t="s">
        <v>45</v>
      </c>
      <c r="D11">
        <v>3443</v>
      </c>
      <c r="E11">
        <v>2</v>
      </c>
      <c r="F11">
        <v>290.5</v>
      </c>
      <c r="G11" t="s">
        <v>46</v>
      </c>
      <c r="H11">
        <v>581000</v>
      </c>
      <c r="I11" s="3">
        <v>0.45165509259259262</v>
      </c>
      <c r="J11">
        <v>747184</v>
      </c>
      <c r="K11">
        <v>361</v>
      </c>
      <c r="L11" t="s">
        <v>142</v>
      </c>
      <c r="M11">
        <v>361</v>
      </c>
      <c r="O11">
        <v>3443</v>
      </c>
      <c r="P11">
        <v>2</v>
      </c>
    </row>
    <row r="12" spans="1:16" x14ac:dyDescent="0.25">
      <c r="A12">
        <v>1775</v>
      </c>
      <c r="B12" t="s">
        <v>159</v>
      </c>
      <c r="C12" t="s">
        <v>45</v>
      </c>
      <c r="D12">
        <v>8163</v>
      </c>
      <c r="E12">
        <v>1</v>
      </c>
      <c r="F12">
        <v>84.2</v>
      </c>
      <c r="G12" t="s">
        <v>46</v>
      </c>
      <c r="H12">
        <v>84200</v>
      </c>
      <c r="I12" s="3">
        <v>0.43064814814814811</v>
      </c>
      <c r="J12">
        <v>620135</v>
      </c>
      <c r="K12">
        <v>361</v>
      </c>
      <c r="L12" t="s">
        <v>142</v>
      </c>
      <c r="M12">
        <v>361</v>
      </c>
      <c r="O12">
        <v>8163</v>
      </c>
      <c r="P12">
        <v>18</v>
      </c>
    </row>
    <row r="13" spans="1:16" x14ac:dyDescent="0.25">
      <c r="A13">
        <v>1776</v>
      </c>
      <c r="B13" t="s">
        <v>159</v>
      </c>
      <c r="C13" t="s">
        <v>45</v>
      </c>
      <c r="D13">
        <v>8163</v>
      </c>
      <c r="E13">
        <v>1</v>
      </c>
      <c r="F13">
        <v>84.2</v>
      </c>
      <c r="G13" t="s">
        <v>46</v>
      </c>
      <c r="H13">
        <v>84200</v>
      </c>
      <c r="I13" s="3">
        <v>0.43070601851851853</v>
      </c>
      <c r="J13">
        <v>620643</v>
      </c>
      <c r="K13">
        <v>361</v>
      </c>
      <c r="L13" t="s">
        <v>142</v>
      </c>
      <c r="M13">
        <v>361</v>
      </c>
      <c r="O13">
        <v>8163</v>
      </c>
      <c r="P13">
        <v>18</v>
      </c>
    </row>
    <row r="14" spans="1:16" x14ac:dyDescent="0.25">
      <c r="A14">
        <v>2332</v>
      </c>
      <c r="B14" t="s">
        <v>168</v>
      </c>
      <c r="C14" t="s">
        <v>45</v>
      </c>
      <c r="D14">
        <v>8163</v>
      </c>
      <c r="E14">
        <v>2</v>
      </c>
      <c r="F14">
        <v>83.1</v>
      </c>
      <c r="G14" t="s">
        <v>46</v>
      </c>
      <c r="H14">
        <v>166200</v>
      </c>
      <c r="I14" s="3">
        <v>0.45057870370370368</v>
      </c>
      <c r="J14">
        <v>737634</v>
      </c>
      <c r="K14">
        <v>361</v>
      </c>
      <c r="L14" t="s">
        <v>142</v>
      </c>
      <c r="M14">
        <v>361</v>
      </c>
      <c r="O14">
        <v>8163</v>
      </c>
      <c r="P14">
        <v>18</v>
      </c>
    </row>
    <row r="15" spans="1:16" x14ac:dyDescent="0.25">
      <c r="A15">
        <v>2333</v>
      </c>
      <c r="B15" t="s">
        <v>169</v>
      </c>
      <c r="C15" t="s">
        <v>45</v>
      </c>
      <c r="D15">
        <v>8163</v>
      </c>
      <c r="E15">
        <v>2</v>
      </c>
      <c r="F15">
        <v>83</v>
      </c>
      <c r="G15" t="s">
        <v>46</v>
      </c>
      <c r="H15">
        <v>166000</v>
      </c>
      <c r="I15" s="3">
        <v>0.45063657407407409</v>
      </c>
      <c r="J15">
        <v>738058</v>
      </c>
      <c r="K15">
        <v>361</v>
      </c>
      <c r="L15" t="s">
        <v>142</v>
      </c>
      <c r="M15">
        <v>361</v>
      </c>
      <c r="O15">
        <v>8163</v>
      </c>
      <c r="P15">
        <v>18</v>
      </c>
    </row>
    <row r="16" spans="1:16" x14ac:dyDescent="0.25">
      <c r="A16">
        <v>2425</v>
      </c>
      <c r="B16" t="s">
        <v>178</v>
      </c>
      <c r="C16" t="s">
        <v>45</v>
      </c>
      <c r="D16">
        <v>8163</v>
      </c>
      <c r="E16">
        <v>1</v>
      </c>
      <c r="F16">
        <v>80.8</v>
      </c>
      <c r="G16" t="s">
        <v>46</v>
      </c>
      <c r="H16">
        <v>80800</v>
      </c>
      <c r="I16" s="3">
        <v>0.45773148148148146</v>
      </c>
      <c r="J16">
        <v>789570</v>
      </c>
      <c r="K16">
        <v>361</v>
      </c>
      <c r="L16" t="s">
        <v>142</v>
      </c>
      <c r="M16">
        <v>361</v>
      </c>
      <c r="O16">
        <v>8163</v>
      </c>
      <c r="P16">
        <v>18</v>
      </c>
    </row>
    <row r="17" spans="1:16" x14ac:dyDescent="0.25">
      <c r="A17">
        <v>2426</v>
      </c>
      <c r="B17" t="s">
        <v>178</v>
      </c>
      <c r="C17" t="s">
        <v>45</v>
      </c>
      <c r="D17">
        <v>8163</v>
      </c>
      <c r="E17">
        <v>1</v>
      </c>
      <c r="F17">
        <v>80.8</v>
      </c>
      <c r="G17" t="s">
        <v>46</v>
      </c>
      <c r="H17">
        <v>80800</v>
      </c>
      <c r="I17" s="3">
        <v>0.45773148148148146</v>
      </c>
      <c r="J17">
        <v>789571</v>
      </c>
      <c r="K17">
        <v>361</v>
      </c>
      <c r="L17" t="s">
        <v>142</v>
      </c>
      <c r="M17">
        <v>361</v>
      </c>
      <c r="O17">
        <v>8163</v>
      </c>
      <c r="P17">
        <v>18</v>
      </c>
    </row>
    <row r="18" spans="1:16" x14ac:dyDescent="0.25">
      <c r="A18">
        <v>2480</v>
      </c>
      <c r="B18" t="s">
        <v>179</v>
      </c>
      <c r="C18" t="s">
        <v>45</v>
      </c>
      <c r="D18">
        <v>8163</v>
      </c>
      <c r="E18">
        <v>2</v>
      </c>
      <c r="F18">
        <v>80.900000000000006</v>
      </c>
      <c r="G18" t="s">
        <v>46</v>
      </c>
      <c r="H18">
        <v>161800</v>
      </c>
      <c r="I18" s="3">
        <v>0.45785879629629633</v>
      </c>
      <c r="J18">
        <v>790296</v>
      </c>
      <c r="K18">
        <v>361</v>
      </c>
      <c r="L18" t="s">
        <v>142</v>
      </c>
      <c r="M18">
        <v>361</v>
      </c>
      <c r="O18">
        <v>8163</v>
      </c>
      <c r="P18">
        <v>18</v>
      </c>
    </row>
    <row r="19" spans="1:16" x14ac:dyDescent="0.25">
      <c r="A19">
        <v>2483</v>
      </c>
      <c r="B19" t="s">
        <v>180</v>
      </c>
      <c r="C19" t="s">
        <v>45</v>
      </c>
      <c r="D19">
        <v>8163</v>
      </c>
      <c r="E19">
        <v>1</v>
      </c>
      <c r="F19">
        <v>81.099999999999994</v>
      </c>
      <c r="G19" t="s">
        <v>46</v>
      </c>
      <c r="H19">
        <v>81100</v>
      </c>
      <c r="I19" s="3">
        <v>0.45814814814814814</v>
      </c>
      <c r="J19">
        <v>792044</v>
      </c>
      <c r="K19">
        <v>361</v>
      </c>
      <c r="L19" t="s">
        <v>142</v>
      </c>
      <c r="M19">
        <v>361</v>
      </c>
      <c r="O19">
        <v>8163</v>
      </c>
      <c r="P19">
        <v>18</v>
      </c>
    </row>
    <row r="20" spans="1:16" x14ac:dyDescent="0.25">
      <c r="A20">
        <v>2484</v>
      </c>
      <c r="B20" t="s">
        <v>180</v>
      </c>
      <c r="C20" t="s">
        <v>45</v>
      </c>
      <c r="D20">
        <v>8163</v>
      </c>
      <c r="E20">
        <v>1</v>
      </c>
      <c r="F20">
        <v>81.099999999999994</v>
      </c>
      <c r="G20" t="s">
        <v>46</v>
      </c>
      <c r="H20">
        <v>81100</v>
      </c>
      <c r="I20" s="3">
        <v>0.45814814814814814</v>
      </c>
      <c r="J20">
        <v>792045</v>
      </c>
      <c r="K20">
        <v>361</v>
      </c>
      <c r="L20" t="s">
        <v>142</v>
      </c>
      <c r="M20">
        <v>361</v>
      </c>
      <c r="O20">
        <v>8163</v>
      </c>
      <c r="P20">
        <v>18</v>
      </c>
    </row>
    <row r="21" spans="1:16" x14ac:dyDescent="0.25">
      <c r="A21">
        <v>2486</v>
      </c>
      <c r="B21" t="s">
        <v>181</v>
      </c>
      <c r="C21" t="s">
        <v>45</v>
      </c>
      <c r="D21">
        <v>8163</v>
      </c>
      <c r="E21">
        <v>1</v>
      </c>
      <c r="F21">
        <v>81.2</v>
      </c>
      <c r="G21" t="s">
        <v>46</v>
      </c>
      <c r="H21">
        <v>81200</v>
      </c>
      <c r="I21" s="3">
        <v>0.45820601851851855</v>
      </c>
      <c r="J21">
        <v>792414</v>
      </c>
      <c r="K21">
        <v>361</v>
      </c>
      <c r="L21" t="s">
        <v>142</v>
      </c>
      <c r="M21">
        <v>361</v>
      </c>
      <c r="O21">
        <v>8163</v>
      </c>
      <c r="P21">
        <v>18</v>
      </c>
    </row>
    <row r="22" spans="1:16" x14ac:dyDescent="0.25">
      <c r="A22">
        <v>2487</v>
      </c>
      <c r="B22" t="s">
        <v>181</v>
      </c>
      <c r="C22" t="s">
        <v>45</v>
      </c>
      <c r="D22">
        <v>8163</v>
      </c>
      <c r="E22">
        <v>1</v>
      </c>
      <c r="F22">
        <v>81.2</v>
      </c>
      <c r="G22" t="s">
        <v>46</v>
      </c>
      <c r="H22">
        <v>81200</v>
      </c>
      <c r="I22" s="3">
        <v>0.45820601851851855</v>
      </c>
      <c r="J22">
        <v>792415</v>
      </c>
      <c r="K22">
        <v>361</v>
      </c>
      <c r="L22" t="s">
        <v>142</v>
      </c>
      <c r="M22">
        <v>361</v>
      </c>
      <c r="O22">
        <v>8163</v>
      </c>
      <c r="P22">
        <v>18</v>
      </c>
    </row>
    <row r="23" spans="1:16" x14ac:dyDescent="0.25">
      <c r="A23">
        <v>2498</v>
      </c>
      <c r="B23" t="s">
        <v>182</v>
      </c>
      <c r="C23" t="s">
        <v>45</v>
      </c>
      <c r="D23">
        <v>8163</v>
      </c>
      <c r="E23">
        <v>2</v>
      </c>
      <c r="F23">
        <v>81.400000000000006</v>
      </c>
      <c r="G23" t="s">
        <v>46</v>
      </c>
      <c r="H23">
        <v>162800</v>
      </c>
      <c r="I23" s="3">
        <v>0.4584375</v>
      </c>
      <c r="J23">
        <v>794329</v>
      </c>
      <c r="K23">
        <v>361</v>
      </c>
      <c r="L23" t="s">
        <v>142</v>
      </c>
      <c r="M23">
        <v>361</v>
      </c>
      <c r="O23">
        <v>8163</v>
      </c>
      <c r="P23">
        <v>18</v>
      </c>
    </row>
    <row r="24" spans="1:16" x14ac:dyDescent="0.25">
      <c r="A24">
        <v>2795</v>
      </c>
      <c r="B24" t="s">
        <v>185</v>
      </c>
      <c r="C24" t="s">
        <v>45</v>
      </c>
      <c r="D24">
        <v>8163</v>
      </c>
      <c r="E24">
        <v>1</v>
      </c>
      <c r="F24">
        <v>83.4</v>
      </c>
      <c r="G24" t="s">
        <v>49</v>
      </c>
      <c r="H24">
        <v>83400</v>
      </c>
      <c r="I24" s="3">
        <v>0.47598379629629628</v>
      </c>
      <c r="J24">
        <v>881079</v>
      </c>
      <c r="K24">
        <v>361</v>
      </c>
      <c r="L24" t="s">
        <v>142</v>
      </c>
      <c r="M24">
        <v>361</v>
      </c>
      <c r="O24">
        <v>8163</v>
      </c>
      <c r="P24">
        <v>18</v>
      </c>
    </row>
    <row r="25" spans="1:16" x14ac:dyDescent="0.25">
      <c r="A25">
        <v>2796</v>
      </c>
      <c r="B25" t="s">
        <v>185</v>
      </c>
      <c r="C25" t="s">
        <v>45</v>
      </c>
      <c r="D25">
        <v>8163</v>
      </c>
      <c r="E25">
        <v>1</v>
      </c>
      <c r="F25">
        <v>83.4</v>
      </c>
      <c r="G25" t="s">
        <v>49</v>
      </c>
      <c r="H25">
        <v>83400</v>
      </c>
      <c r="I25" s="3">
        <v>0.47598379629629628</v>
      </c>
      <c r="J25">
        <v>881080</v>
      </c>
      <c r="K25">
        <v>361</v>
      </c>
      <c r="L25" t="s">
        <v>142</v>
      </c>
      <c r="M25">
        <v>361</v>
      </c>
      <c r="O25">
        <v>8163</v>
      </c>
      <c r="P25">
        <v>18</v>
      </c>
    </row>
    <row r="26" spans="1:16" x14ac:dyDescent="0.25">
      <c r="A26">
        <v>2797</v>
      </c>
      <c r="B26" t="s">
        <v>186</v>
      </c>
      <c r="C26" t="s">
        <v>45</v>
      </c>
      <c r="D26">
        <v>8163</v>
      </c>
      <c r="E26">
        <v>1</v>
      </c>
      <c r="F26">
        <v>83.4</v>
      </c>
      <c r="G26" t="s">
        <v>49</v>
      </c>
      <c r="H26">
        <v>83400</v>
      </c>
      <c r="I26" s="3">
        <v>0.4761111111111111</v>
      </c>
      <c r="J26">
        <v>881774</v>
      </c>
      <c r="K26">
        <v>361</v>
      </c>
      <c r="L26" t="s">
        <v>142</v>
      </c>
      <c r="M26">
        <v>361</v>
      </c>
      <c r="O26">
        <v>8163</v>
      </c>
      <c r="P26">
        <v>18</v>
      </c>
    </row>
    <row r="27" spans="1:16" x14ac:dyDescent="0.25">
      <c r="A27">
        <v>2798</v>
      </c>
      <c r="B27" t="s">
        <v>186</v>
      </c>
      <c r="C27" t="s">
        <v>45</v>
      </c>
      <c r="D27">
        <v>8163</v>
      </c>
      <c r="E27">
        <v>1</v>
      </c>
      <c r="F27">
        <v>83.4</v>
      </c>
      <c r="G27" t="s">
        <v>49</v>
      </c>
      <c r="H27">
        <v>83400</v>
      </c>
      <c r="I27" s="3">
        <v>0.4761111111111111</v>
      </c>
      <c r="J27">
        <v>881775</v>
      </c>
      <c r="K27">
        <v>361</v>
      </c>
      <c r="L27" t="s">
        <v>142</v>
      </c>
      <c r="M27">
        <v>361</v>
      </c>
      <c r="O27">
        <v>8163</v>
      </c>
      <c r="P27">
        <v>18</v>
      </c>
    </row>
    <row r="28" spans="1:16" x14ac:dyDescent="0.25">
      <c r="A28">
        <v>2849</v>
      </c>
      <c r="B28" t="s">
        <v>192</v>
      </c>
      <c r="C28" t="s">
        <v>45</v>
      </c>
      <c r="D28">
        <v>8163</v>
      </c>
      <c r="E28">
        <v>2</v>
      </c>
      <c r="F28">
        <v>83</v>
      </c>
      <c r="G28" t="s">
        <v>46</v>
      </c>
      <c r="H28">
        <v>166000</v>
      </c>
      <c r="I28" s="3">
        <v>0.49361111111111106</v>
      </c>
      <c r="J28">
        <v>959446</v>
      </c>
      <c r="K28">
        <v>361</v>
      </c>
      <c r="L28" t="s">
        <v>142</v>
      </c>
      <c r="M28">
        <v>361</v>
      </c>
      <c r="O28">
        <v>8163</v>
      </c>
      <c r="P28">
        <v>18</v>
      </c>
    </row>
    <row r="29" spans="1:16" x14ac:dyDescent="0.25">
      <c r="A29">
        <v>2904</v>
      </c>
      <c r="B29" t="s">
        <v>197</v>
      </c>
      <c r="C29" t="s">
        <v>45</v>
      </c>
      <c r="D29">
        <v>8163</v>
      </c>
      <c r="E29">
        <v>2</v>
      </c>
      <c r="F29">
        <v>83</v>
      </c>
      <c r="G29" t="s">
        <v>49</v>
      </c>
      <c r="H29">
        <v>166000</v>
      </c>
      <c r="I29" s="3">
        <v>0.50971064814814815</v>
      </c>
      <c r="J29">
        <v>1021401</v>
      </c>
      <c r="K29">
        <v>361</v>
      </c>
      <c r="L29" t="s">
        <v>142</v>
      </c>
      <c r="M29">
        <v>361</v>
      </c>
      <c r="O29">
        <v>8163</v>
      </c>
      <c r="P29">
        <v>18</v>
      </c>
    </row>
    <row r="30" spans="1:16" x14ac:dyDescent="0.25">
      <c r="A30">
        <v>2905</v>
      </c>
      <c r="B30" t="s">
        <v>198</v>
      </c>
      <c r="C30" t="s">
        <v>45</v>
      </c>
      <c r="D30">
        <v>8163</v>
      </c>
      <c r="E30">
        <v>2</v>
      </c>
      <c r="F30">
        <v>83</v>
      </c>
      <c r="G30" t="s">
        <v>49</v>
      </c>
      <c r="H30">
        <v>166000</v>
      </c>
      <c r="I30" s="3">
        <v>0.50976851851851845</v>
      </c>
      <c r="J30">
        <v>1021674</v>
      </c>
      <c r="K30">
        <v>361</v>
      </c>
      <c r="L30" t="s">
        <v>142</v>
      </c>
      <c r="M30">
        <v>361</v>
      </c>
      <c r="O30">
        <v>8163</v>
      </c>
      <c r="P30">
        <v>18</v>
      </c>
    </row>
    <row r="31" spans="1:16" x14ac:dyDescent="0.25">
      <c r="A31">
        <v>2906</v>
      </c>
      <c r="B31" t="s">
        <v>199</v>
      </c>
      <c r="C31" t="s">
        <v>45</v>
      </c>
      <c r="D31">
        <v>8163</v>
      </c>
      <c r="E31">
        <v>1</v>
      </c>
      <c r="F31">
        <v>83</v>
      </c>
      <c r="G31" t="s">
        <v>49</v>
      </c>
      <c r="H31">
        <v>83000</v>
      </c>
      <c r="I31" s="3">
        <v>0.50982638888888887</v>
      </c>
      <c r="J31">
        <v>1021876</v>
      </c>
      <c r="K31">
        <v>361</v>
      </c>
      <c r="L31" t="s">
        <v>142</v>
      </c>
      <c r="M31">
        <v>361</v>
      </c>
      <c r="O31">
        <v>8163</v>
      </c>
      <c r="P31">
        <v>18</v>
      </c>
    </row>
    <row r="32" spans="1:16" x14ac:dyDescent="0.25">
      <c r="A32">
        <v>2907</v>
      </c>
      <c r="B32" t="s">
        <v>199</v>
      </c>
      <c r="C32" t="s">
        <v>45</v>
      </c>
      <c r="D32">
        <v>8163</v>
      </c>
      <c r="E32">
        <v>1</v>
      </c>
      <c r="F32">
        <v>83</v>
      </c>
      <c r="G32" t="s">
        <v>49</v>
      </c>
      <c r="H32">
        <v>83000</v>
      </c>
      <c r="I32" s="3">
        <v>0.50982638888888887</v>
      </c>
      <c r="J32">
        <v>1021877</v>
      </c>
      <c r="K32">
        <v>361</v>
      </c>
      <c r="L32" t="s">
        <v>142</v>
      </c>
      <c r="M32">
        <v>361</v>
      </c>
      <c r="O32">
        <v>8163</v>
      </c>
      <c r="P32">
        <v>18</v>
      </c>
    </row>
    <row r="33" spans="1:16" x14ac:dyDescent="0.25">
      <c r="A33">
        <v>2908</v>
      </c>
      <c r="B33" t="s">
        <v>200</v>
      </c>
      <c r="C33" t="s">
        <v>45</v>
      </c>
      <c r="D33">
        <v>8163</v>
      </c>
      <c r="E33">
        <v>2</v>
      </c>
      <c r="F33">
        <v>83.2</v>
      </c>
      <c r="G33" t="s">
        <v>49</v>
      </c>
      <c r="H33">
        <v>166400</v>
      </c>
      <c r="I33" s="3">
        <v>0.51028935185185187</v>
      </c>
      <c r="J33">
        <v>1023469</v>
      </c>
      <c r="K33">
        <v>361</v>
      </c>
      <c r="L33" t="s">
        <v>142</v>
      </c>
      <c r="M33">
        <v>361</v>
      </c>
      <c r="O33">
        <v>8163</v>
      </c>
      <c r="P33">
        <v>18</v>
      </c>
    </row>
    <row r="34" spans="1:16" x14ac:dyDescent="0.25">
      <c r="A34">
        <v>2909</v>
      </c>
      <c r="B34" t="s">
        <v>201</v>
      </c>
      <c r="C34" t="s">
        <v>45</v>
      </c>
      <c r="D34">
        <v>8163</v>
      </c>
      <c r="E34">
        <v>1</v>
      </c>
      <c r="F34">
        <v>83.3</v>
      </c>
      <c r="G34" t="s">
        <v>49</v>
      </c>
      <c r="H34">
        <v>83300</v>
      </c>
      <c r="I34" s="3">
        <v>0.51034722222222217</v>
      </c>
      <c r="J34">
        <v>1023638</v>
      </c>
      <c r="K34">
        <v>361</v>
      </c>
      <c r="L34" t="s">
        <v>142</v>
      </c>
      <c r="M34">
        <v>361</v>
      </c>
      <c r="O34">
        <v>8163</v>
      </c>
      <c r="P34">
        <v>18</v>
      </c>
    </row>
    <row r="35" spans="1:16" x14ac:dyDescent="0.25">
      <c r="A35">
        <v>2910</v>
      </c>
      <c r="B35" t="s">
        <v>201</v>
      </c>
      <c r="C35" t="s">
        <v>45</v>
      </c>
      <c r="D35">
        <v>8163</v>
      </c>
      <c r="E35">
        <v>1</v>
      </c>
      <c r="F35">
        <v>83.3</v>
      </c>
      <c r="G35" t="s">
        <v>49</v>
      </c>
      <c r="H35">
        <v>83300</v>
      </c>
      <c r="I35" s="3">
        <v>0.51034722222222217</v>
      </c>
      <c r="J35">
        <v>1023639</v>
      </c>
      <c r="K35">
        <v>361</v>
      </c>
      <c r="L35" t="s">
        <v>142</v>
      </c>
      <c r="M35">
        <v>361</v>
      </c>
      <c r="O35">
        <v>8163</v>
      </c>
      <c r="P35">
        <v>18</v>
      </c>
    </row>
    <row r="36" spans="1:16" x14ac:dyDescent="0.25">
      <c r="A36">
        <v>2995</v>
      </c>
      <c r="B36" t="s">
        <v>203</v>
      </c>
      <c r="C36" t="s">
        <v>45</v>
      </c>
      <c r="D36">
        <v>8163</v>
      </c>
      <c r="E36">
        <v>1</v>
      </c>
      <c r="F36">
        <v>82.2</v>
      </c>
      <c r="G36" t="s">
        <v>49</v>
      </c>
      <c r="H36">
        <v>82200</v>
      </c>
      <c r="I36" s="3">
        <v>0.52598379629629632</v>
      </c>
      <c r="J36">
        <v>1087435</v>
      </c>
      <c r="K36">
        <v>361</v>
      </c>
      <c r="L36" t="s">
        <v>142</v>
      </c>
      <c r="M36">
        <v>361</v>
      </c>
      <c r="O36">
        <v>8163</v>
      </c>
      <c r="P36">
        <v>18</v>
      </c>
    </row>
    <row r="37" spans="1:16" x14ac:dyDescent="0.25">
      <c r="A37">
        <v>2996</v>
      </c>
      <c r="B37" t="s">
        <v>203</v>
      </c>
      <c r="C37" t="s">
        <v>45</v>
      </c>
      <c r="D37">
        <v>8163</v>
      </c>
      <c r="E37">
        <v>1</v>
      </c>
      <c r="F37">
        <v>82.2</v>
      </c>
      <c r="G37" t="s">
        <v>49</v>
      </c>
      <c r="H37">
        <v>82200</v>
      </c>
      <c r="I37" s="3">
        <v>0.52598379629629632</v>
      </c>
      <c r="J37">
        <v>1087436</v>
      </c>
      <c r="K37">
        <v>361</v>
      </c>
      <c r="L37" t="s">
        <v>142</v>
      </c>
      <c r="M37">
        <v>361</v>
      </c>
      <c r="O37">
        <v>8163</v>
      </c>
      <c r="P37">
        <v>18</v>
      </c>
    </row>
    <row r="38" spans="1:16" x14ac:dyDescent="0.25">
      <c r="A38">
        <v>3000</v>
      </c>
      <c r="B38" t="s">
        <v>204</v>
      </c>
      <c r="C38" t="s">
        <v>45</v>
      </c>
      <c r="D38">
        <v>8163</v>
      </c>
      <c r="E38">
        <v>2</v>
      </c>
      <c r="F38">
        <v>82.6</v>
      </c>
      <c r="G38" t="s">
        <v>49</v>
      </c>
      <c r="H38">
        <v>165200</v>
      </c>
      <c r="I38" s="3">
        <v>0.52785879629629628</v>
      </c>
      <c r="J38">
        <v>1096249</v>
      </c>
      <c r="K38">
        <v>361</v>
      </c>
      <c r="L38" t="s">
        <v>142</v>
      </c>
      <c r="M38">
        <v>361</v>
      </c>
      <c r="O38">
        <v>8163</v>
      </c>
      <c r="P38">
        <v>18</v>
      </c>
    </row>
    <row r="39" spans="1:16" x14ac:dyDescent="0.25">
      <c r="A39">
        <v>3045</v>
      </c>
      <c r="B39" t="s">
        <v>205</v>
      </c>
      <c r="C39" t="s">
        <v>45</v>
      </c>
      <c r="D39">
        <v>8163</v>
      </c>
      <c r="E39">
        <v>2</v>
      </c>
      <c r="F39">
        <v>81.3</v>
      </c>
      <c r="G39" t="s">
        <v>49</v>
      </c>
      <c r="H39">
        <v>162600</v>
      </c>
      <c r="I39" s="3">
        <v>0.53861111111111104</v>
      </c>
      <c r="J39">
        <v>1150534</v>
      </c>
      <c r="K39">
        <v>361</v>
      </c>
      <c r="L39" t="s">
        <v>142</v>
      </c>
      <c r="M39">
        <v>361</v>
      </c>
      <c r="O39">
        <v>8163</v>
      </c>
      <c r="P39">
        <v>18</v>
      </c>
    </row>
    <row r="40" spans="1:16" x14ac:dyDescent="0.25">
      <c r="A40">
        <v>2504</v>
      </c>
      <c r="B40" t="s">
        <v>68</v>
      </c>
      <c r="C40" t="s">
        <v>45</v>
      </c>
      <c r="D40">
        <v>26095</v>
      </c>
      <c r="E40">
        <v>5</v>
      </c>
      <c r="F40">
        <v>103.75</v>
      </c>
      <c r="G40" t="s">
        <v>49</v>
      </c>
      <c r="H40">
        <v>518750</v>
      </c>
      <c r="I40" s="3">
        <v>0.45253472222222224</v>
      </c>
      <c r="J40">
        <v>352499</v>
      </c>
      <c r="K40">
        <v>123</v>
      </c>
      <c r="L40" t="s">
        <v>47</v>
      </c>
      <c r="M40">
        <v>9</v>
      </c>
      <c r="O40">
        <v>26095</v>
      </c>
      <c r="P40">
        <v>58</v>
      </c>
    </row>
    <row r="41" spans="1:16" x14ac:dyDescent="0.25">
      <c r="A41">
        <v>2505</v>
      </c>
      <c r="B41" t="s">
        <v>68</v>
      </c>
      <c r="C41" t="s">
        <v>45</v>
      </c>
      <c r="D41">
        <v>26095</v>
      </c>
      <c r="E41">
        <v>10</v>
      </c>
      <c r="F41">
        <v>103.75</v>
      </c>
      <c r="G41" t="s">
        <v>49</v>
      </c>
      <c r="H41">
        <v>1037500</v>
      </c>
      <c r="I41" s="3">
        <v>0.45253472222222224</v>
      </c>
      <c r="J41">
        <v>352500</v>
      </c>
      <c r="K41">
        <v>123</v>
      </c>
      <c r="L41" t="s">
        <v>47</v>
      </c>
      <c r="M41">
        <v>9</v>
      </c>
      <c r="O41">
        <v>26095</v>
      </c>
      <c r="P41">
        <v>58</v>
      </c>
    </row>
    <row r="42" spans="1:16" x14ac:dyDescent="0.25">
      <c r="A42">
        <v>636</v>
      </c>
      <c r="B42" t="s">
        <v>70</v>
      </c>
      <c r="C42" t="s">
        <v>45</v>
      </c>
      <c r="D42">
        <v>26095</v>
      </c>
      <c r="E42">
        <v>4</v>
      </c>
      <c r="F42">
        <v>102.8</v>
      </c>
      <c r="G42" t="s">
        <v>49</v>
      </c>
      <c r="H42">
        <v>411200</v>
      </c>
      <c r="I42" s="3">
        <v>0.39171296296296299</v>
      </c>
      <c r="J42">
        <v>141162</v>
      </c>
      <c r="K42">
        <v>123</v>
      </c>
      <c r="L42" t="s">
        <v>47</v>
      </c>
      <c r="M42">
        <v>9</v>
      </c>
      <c r="O42">
        <v>26095</v>
      </c>
      <c r="P42">
        <v>58</v>
      </c>
    </row>
    <row r="43" spans="1:16" x14ac:dyDescent="0.25">
      <c r="A43">
        <v>637</v>
      </c>
      <c r="B43" t="s">
        <v>70</v>
      </c>
      <c r="C43" t="s">
        <v>45</v>
      </c>
      <c r="D43">
        <v>26095</v>
      </c>
      <c r="E43">
        <v>2</v>
      </c>
      <c r="F43">
        <v>102.8</v>
      </c>
      <c r="G43" t="s">
        <v>49</v>
      </c>
      <c r="H43">
        <v>205600</v>
      </c>
      <c r="I43" s="3">
        <v>0.39171296296296299</v>
      </c>
      <c r="J43">
        <v>141163</v>
      </c>
      <c r="K43">
        <v>123</v>
      </c>
      <c r="L43" t="s">
        <v>47</v>
      </c>
      <c r="M43">
        <v>9</v>
      </c>
      <c r="O43">
        <v>26095</v>
      </c>
      <c r="P43">
        <v>58</v>
      </c>
    </row>
    <row r="44" spans="1:16" x14ac:dyDescent="0.25">
      <c r="A44">
        <v>638</v>
      </c>
      <c r="B44" t="s">
        <v>70</v>
      </c>
      <c r="C44" t="s">
        <v>45</v>
      </c>
      <c r="D44">
        <v>26095</v>
      </c>
      <c r="E44">
        <v>10</v>
      </c>
      <c r="F44">
        <v>102.8</v>
      </c>
      <c r="G44" t="s">
        <v>49</v>
      </c>
      <c r="H44">
        <v>1028000</v>
      </c>
      <c r="I44" s="3">
        <v>0.39171296296296299</v>
      </c>
      <c r="J44">
        <v>141164</v>
      </c>
      <c r="K44">
        <v>123</v>
      </c>
      <c r="L44" t="s">
        <v>47</v>
      </c>
      <c r="M44">
        <v>9</v>
      </c>
      <c r="O44">
        <v>26095</v>
      </c>
      <c r="P44">
        <v>58</v>
      </c>
    </row>
    <row r="45" spans="1:16" x14ac:dyDescent="0.25">
      <c r="A45">
        <v>639</v>
      </c>
      <c r="B45" t="s">
        <v>70</v>
      </c>
      <c r="C45" t="s">
        <v>45</v>
      </c>
      <c r="D45">
        <v>26095</v>
      </c>
      <c r="E45">
        <v>5</v>
      </c>
      <c r="F45">
        <v>102.8</v>
      </c>
      <c r="G45" t="s">
        <v>49</v>
      </c>
      <c r="H45">
        <v>514000</v>
      </c>
      <c r="I45" s="3">
        <v>0.39171296296296299</v>
      </c>
      <c r="J45">
        <v>141165</v>
      </c>
      <c r="K45">
        <v>123</v>
      </c>
      <c r="L45" t="s">
        <v>47</v>
      </c>
      <c r="M45">
        <v>9</v>
      </c>
      <c r="O45">
        <v>26095</v>
      </c>
      <c r="P45">
        <v>58</v>
      </c>
    </row>
    <row r="46" spans="1:16" x14ac:dyDescent="0.25">
      <c r="A46">
        <v>640</v>
      </c>
      <c r="B46" t="s">
        <v>70</v>
      </c>
      <c r="C46" t="s">
        <v>45</v>
      </c>
      <c r="D46">
        <v>26095</v>
      </c>
      <c r="E46">
        <v>6</v>
      </c>
      <c r="F46">
        <v>102.8</v>
      </c>
      <c r="G46" t="s">
        <v>49</v>
      </c>
      <c r="H46">
        <v>616800</v>
      </c>
      <c r="I46" s="3">
        <v>0.39171296296296299</v>
      </c>
      <c r="J46">
        <v>141166</v>
      </c>
      <c r="K46">
        <v>123</v>
      </c>
      <c r="L46" t="s">
        <v>47</v>
      </c>
      <c r="M46">
        <v>9</v>
      </c>
      <c r="O46">
        <v>26095</v>
      </c>
      <c r="P46">
        <v>58</v>
      </c>
    </row>
    <row r="47" spans="1:16" x14ac:dyDescent="0.25">
      <c r="A47">
        <v>641</v>
      </c>
      <c r="B47" t="s">
        <v>70</v>
      </c>
      <c r="C47" t="s">
        <v>45</v>
      </c>
      <c r="D47">
        <v>26095</v>
      </c>
      <c r="E47">
        <v>50</v>
      </c>
      <c r="F47">
        <v>102.8</v>
      </c>
      <c r="G47" t="s">
        <v>49</v>
      </c>
      <c r="H47">
        <v>5140000</v>
      </c>
      <c r="I47" s="3">
        <v>0.39171296296296299</v>
      </c>
      <c r="J47">
        <v>141167</v>
      </c>
      <c r="K47">
        <v>123</v>
      </c>
      <c r="L47" t="s">
        <v>47</v>
      </c>
      <c r="M47">
        <v>9</v>
      </c>
      <c r="O47">
        <v>26095</v>
      </c>
      <c r="P47">
        <v>58</v>
      </c>
    </row>
    <row r="48" spans="1:16" x14ac:dyDescent="0.25">
      <c r="A48">
        <v>642</v>
      </c>
      <c r="B48" t="s">
        <v>70</v>
      </c>
      <c r="C48" t="s">
        <v>45</v>
      </c>
      <c r="D48">
        <v>26095</v>
      </c>
      <c r="E48">
        <v>20</v>
      </c>
      <c r="F48">
        <v>102.8</v>
      </c>
      <c r="G48" t="s">
        <v>49</v>
      </c>
      <c r="H48">
        <v>2056000</v>
      </c>
      <c r="I48" s="3">
        <v>0.39171296296296299</v>
      </c>
      <c r="J48">
        <v>141168</v>
      </c>
      <c r="K48">
        <v>123</v>
      </c>
      <c r="L48" t="s">
        <v>47</v>
      </c>
      <c r="M48">
        <v>9</v>
      </c>
      <c r="O48">
        <v>26095</v>
      </c>
      <c r="P48">
        <v>58</v>
      </c>
    </row>
    <row r="49" spans="1:16" x14ac:dyDescent="0.25">
      <c r="A49">
        <v>3456</v>
      </c>
      <c r="B49" t="s">
        <v>87</v>
      </c>
      <c r="C49" t="s">
        <v>45</v>
      </c>
      <c r="D49">
        <v>26095</v>
      </c>
      <c r="E49">
        <v>10</v>
      </c>
      <c r="F49">
        <v>104</v>
      </c>
      <c r="G49" t="s">
        <v>46</v>
      </c>
      <c r="H49">
        <v>1040000</v>
      </c>
      <c r="I49" s="3">
        <v>0.55399305555555556</v>
      </c>
      <c r="J49">
        <v>532369</v>
      </c>
      <c r="K49">
        <v>20</v>
      </c>
      <c r="L49" t="s">
        <v>48</v>
      </c>
      <c r="M49">
        <v>9</v>
      </c>
      <c r="O49">
        <v>26095</v>
      </c>
      <c r="P49">
        <v>58</v>
      </c>
    </row>
    <row r="50" spans="1:16" x14ac:dyDescent="0.25">
      <c r="A50">
        <v>3512</v>
      </c>
      <c r="B50" t="s">
        <v>91</v>
      </c>
      <c r="C50" t="s">
        <v>45</v>
      </c>
      <c r="D50">
        <v>26095</v>
      </c>
      <c r="E50">
        <v>1</v>
      </c>
      <c r="F50">
        <v>104.15</v>
      </c>
      <c r="G50" t="s">
        <v>49</v>
      </c>
      <c r="H50">
        <v>104150</v>
      </c>
      <c r="I50" s="3">
        <v>0.55543981481481486</v>
      </c>
      <c r="J50">
        <v>536003</v>
      </c>
      <c r="K50">
        <v>123</v>
      </c>
      <c r="L50" t="s">
        <v>47</v>
      </c>
      <c r="M50">
        <v>9</v>
      </c>
      <c r="O50">
        <v>26095</v>
      </c>
      <c r="P50">
        <v>58</v>
      </c>
    </row>
    <row r="51" spans="1:16" x14ac:dyDescent="0.25">
      <c r="A51">
        <v>3513</v>
      </c>
      <c r="B51" t="s">
        <v>91</v>
      </c>
      <c r="C51" t="s">
        <v>45</v>
      </c>
      <c r="D51">
        <v>26095</v>
      </c>
      <c r="E51">
        <v>19</v>
      </c>
      <c r="F51">
        <v>104.15</v>
      </c>
      <c r="G51" t="s">
        <v>49</v>
      </c>
      <c r="H51">
        <v>1978850</v>
      </c>
      <c r="I51" s="3">
        <v>0.55543981481481486</v>
      </c>
      <c r="J51">
        <v>536004</v>
      </c>
      <c r="K51">
        <v>123</v>
      </c>
      <c r="L51" t="s">
        <v>47</v>
      </c>
      <c r="M51">
        <v>9</v>
      </c>
      <c r="O51">
        <v>26095</v>
      </c>
      <c r="P51">
        <v>58</v>
      </c>
    </row>
    <row r="52" spans="1:16" x14ac:dyDescent="0.25">
      <c r="A52">
        <v>3350</v>
      </c>
      <c r="B52" t="s">
        <v>94</v>
      </c>
      <c r="C52" t="s">
        <v>45</v>
      </c>
      <c r="D52">
        <v>26095</v>
      </c>
      <c r="E52">
        <v>10</v>
      </c>
      <c r="F52">
        <v>104</v>
      </c>
      <c r="G52" t="s">
        <v>46</v>
      </c>
      <c r="H52">
        <v>1040000</v>
      </c>
      <c r="I52" s="3">
        <v>0.54701388888888891</v>
      </c>
      <c r="J52">
        <v>515151</v>
      </c>
      <c r="K52">
        <v>20</v>
      </c>
      <c r="L52" t="s">
        <v>48</v>
      </c>
      <c r="M52">
        <v>9</v>
      </c>
      <c r="O52">
        <v>26095</v>
      </c>
      <c r="P52">
        <v>58</v>
      </c>
    </row>
    <row r="53" spans="1:16" x14ac:dyDescent="0.25">
      <c r="A53">
        <v>1253</v>
      </c>
      <c r="B53" t="s">
        <v>107</v>
      </c>
      <c r="C53" t="s">
        <v>45</v>
      </c>
      <c r="D53">
        <v>26095</v>
      </c>
      <c r="E53">
        <v>1</v>
      </c>
      <c r="F53">
        <v>103.15</v>
      </c>
      <c r="G53" t="s">
        <v>49</v>
      </c>
      <c r="H53">
        <v>103150</v>
      </c>
      <c r="I53" s="3">
        <v>0.40886574074074072</v>
      </c>
      <c r="J53">
        <v>214090</v>
      </c>
      <c r="K53">
        <v>123</v>
      </c>
      <c r="L53" t="s">
        <v>47</v>
      </c>
      <c r="M53">
        <v>9</v>
      </c>
      <c r="O53">
        <v>26095</v>
      </c>
      <c r="P53">
        <v>58</v>
      </c>
    </row>
    <row r="54" spans="1:16" x14ac:dyDescent="0.25">
      <c r="A54">
        <v>1182</v>
      </c>
      <c r="B54" t="s">
        <v>123</v>
      </c>
      <c r="C54" t="s">
        <v>45</v>
      </c>
      <c r="D54">
        <v>26095</v>
      </c>
      <c r="E54">
        <v>10</v>
      </c>
      <c r="F54">
        <v>103.15</v>
      </c>
      <c r="G54" t="s">
        <v>49</v>
      </c>
      <c r="H54">
        <v>1031500</v>
      </c>
      <c r="I54" s="3">
        <v>0.4067824074074074</v>
      </c>
      <c r="J54">
        <v>206346</v>
      </c>
      <c r="K54">
        <v>123</v>
      </c>
      <c r="L54" t="s">
        <v>47</v>
      </c>
      <c r="M54">
        <v>9</v>
      </c>
      <c r="O54">
        <v>26095</v>
      </c>
      <c r="P54">
        <v>58</v>
      </c>
    </row>
    <row r="55" spans="1:16" x14ac:dyDescent="0.25">
      <c r="A55">
        <v>3349</v>
      </c>
      <c r="B55" t="s">
        <v>132</v>
      </c>
      <c r="C55" t="s">
        <v>45</v>
      </c>
      <c r="D55">
        <v>26095</v>
      </c>
      <c r="E55">
        <v>10</v>
      </c>
      <c r="F55">
        <v>104</v>
      </c>
      <c r="G55" t="s">
        <v>49</v>
      </c>
      <c r="H55">
        <v>1040000</v>
      </c>
      <c r="I55" s="3">
        <v>0.54701388888888891</v>
      </c>
      <c r="J55">
        <v>515151</v>
      </c>
      <c r="K55">
        <v>123</v>
      </c>
      <c r="L55" t="s">
        <v>47</v>
      </c>
      <c r="M55">
        <v>9</v>
      </c>
      <c r="O55">
        <v>26095</v>
      </c>
      <c r="P55">
        <v>58</v>
      </c>
    </row>
    <row r="56" spans="1:16" x14ac:dyDescent="0.25">
      <c r="A56">
        <v>977</v>
      </c>
      <c r="B56" t="s">
        <v>216</v>
      </c>
      <c r="C56" t="s">
        <v>45</v>
      </c>
      <c r="D56">
        <v>26095</v>
      </c>
      <c r="E56">
        <v>5</v>
      </c>
      <c r="F56">
        <v>103</v>
      </c>
      <c r="G56" t="s">
        <v>46</v>
      </c>
      <c r="H56">
        <v>515000</v>
      </c>
      <c r="I56" s="3">
        <v>0.39874999999999999</v>
      </c>
      <c r="J56">
        <v>173947</v>
      </c>
      <c r="K56">
        <v>20</v>
      </c>
      <c r="L56" t="s">
        <v>48</v>
      </c>
      <c r="M56" t="s">
        <v>208</v>
      </c>
      <c r="O56">
        <v>26095</v>
      </c>
      <c r="P56">
        <v>58</v>
      </c>
    </row>
    <row r="57" spans="1:16" x14ac:dyDescent="0.25">
      <c r="A57">
        <v>991</v>
      </c>
      <c r="B57" t="s">
        <v>216</v>
      </c>
      <c r="C57" t="s">
        <v>45</v>
      </c>
      <c r="D57">
        <v>26095</v>
      </c>
      <c r="E57">
        <v>5</v>
      </c>
      <c r="F57">
        <v>103</v>
      </c>
      <c r="G57" t="s">
        <v>46</v>
      </c>
      <c r="H57">
        <v>515000</v>
      </c>
      <c r="I57" s="3">
        <v>0.39909722222222221</v>
      </c>
      <c r="J57">
        <v>175414</v>
      </c>
      <c r="K57">
        <v>20</v>
      </c>
      <c r="L57" t="s">
        <v>48</v>
      </c>
      <c r="M57" t="s">
        <v>208</v>
      </c>
      <c r="O57">
        <v>26095</v>
      </c>
      <c r="P57">
        <v>58</v>
      </c>
    </row>
    <row r="58" spans="1:16" x14ac:dyDescent="0.25">
      <c r="A58">
        <v>2409</v>
      </c>
      <c r="B58" t="s">
        <v>224</v>
      </c>
      <c r="C58" t="s">
        <v>45</v>
      </c>
      <c r="D58">
        <v>26095</v>
      </c>
      <c r="E58">
        <v>8</v>
      </c>
      <c r="F58">
        <v>103.45</v>
      </c>
      <c r="G58" t="s">
        <v>46</v>
      </c>
      <c r="H58">
        <v>827600</v>
      </c>
      <c r="I58" s="3">
        <v>0.44596064814814818</v>
      </c>
      <c r="J58">
        <v>335853</v>
      </c>
      <c r="K58">
        <v>20</v>
      </c>
      <c r="L58" t="s">
        <v>48</v>
      </c>
      <c r="M58" t="s">
        <v>208</v>
      </c>
      <c r="O58">
        <v>26095</v>
      </c>
      <c r="P58">
        <v>58</v>
      </c>
    </row>
    <row r="59" spans="1:16" x14ac:dyDescent="0.25">
      <c r="A59">
        <v>1257</v>
      </c>
      <c r="B59" t="s">
        <v>245</v>
      </c>
      <c r="C59" t="s">
        <v>45</v>
      </c>
      <c r="D59">
        <v>26095</v>
      </c>
      <c r="E59">
        <v>10</v>
      </c>
      <c r="F59">
        <v>103.2</v>
      </c>
      <c r="G59" t="s">
        <v>49</v>
      </c>
      <c r="H59">
        <v>1032000</v>
      </c>
      <c r="I59" s="3">
        <v>0.40903935185185186</v>
      </c>
      <c r="J59">
        <v>214722</v>
      </c>
      <c r="K59">
        <v>123</v>
      </c>
      <c r="L59" t="s">
        <v>47</v>
      </c>
      <c r="M59" t="s">
        <v>208</v>
      </c>
      <c r="O59">
        <v>26095</v>
      </c>
      <c r="P59">
        <v>58</v>
      </c>
    </row>
    <row r="60" spans="1:16" x14ac:dyDescent="0.25">
      <c r="A60">
        <v>2432</v>
      </c>
      <c r="B60" t="s">
        <v>249</v>
      </c>
      <c r="C60" t="s">
        <v>45</v>
      </c>
      <c r="D60">
        <v>26095</v>
      </c>
      <c r="E60">
        <v>10</v>
      </c>
      <c r="F60">
        <v>103.5</v>
      </c>
      <c r="G60" t="s">
        <v>46</v>
      </c>
      <c r="H60">
        <v>1035000</v>
      </c>
      <c r="I60" s="3">
        <v>0.44747685185185188</v>
      </c>
      <c r="J60">
        <v>339230</v>
      </c>
      <c r="K60">
        <v>20</v>
      </c>
      <c r="L60" t="s">
        <v>48</v>
      </c>
      <c r="M60" t="s">
        <v>208</v>
      </c>
      <c r="O60">
        <v>26095</v>
      </c>
      <c r="P60">
        <v>58</v>
      </c>
    </row>
    <row r="61" spans="1:16" x14ac:dyDescent="0.25">
      <c r="A61">
        <v>2883</v>
      </c>
      <c r="B61" t="s">
        <v>252</v>
      </c>
      <c r="C61" t="s">
        <v>45</v>
      </c>
      <c r="D61">
        <v>26095</v>
      </c>
      <c r="E61">
        <v>10</v>
      </c>
      <c r="F61">
        <v>104</v>
      </c>
      <c r="G61" t="s">
        <v>49</v>
      </c>
      <c r="H61">
        <v>1040000</v>
      </c>
      <c r="I61" s="3">
        <v>0.47684027777777777</v>
      </c>
      <c r="J61">
        <v>398529</v>
      </c>
      <c r="K61">
        <v>123</v>
      </c>
      <c r="L61" t="s">
        <v>47</v>
      </c>
      <c r="M61" t="s">
        <v>208</v>
      </c>
      <c r="O61">
        <v>26095</v>
      </c>
      <c r="P61">
        <v>58</v>
      </c>
    </row>
    <row r="62" spans="1:16" x14ac:dyDescent="0.25">
      <c r="A62">
        <v>536</v>
      </c>
      <c r="B62" t="s">
        <v>275</v>
      </c>
      <c r="C62" t="s">
        <v>45</v>
      </c>
      <c r="D62">
        <v>26095</v>
      </c>
      <c r="E62">
        <v>20</v>
      </c>
      <c r="F62">
        <v>102.75</v>
      </c>
      <c r="G62" t="s">
        <v>49</v>
      </c>
      <c r="H62">
        <v>2055000</v>
      </c>
      <c r="I62" s="3">
        <v>0.3870601851851852</v>
      </c>
      <c r="J62">
        <v>115281</v>
      </c>
      <c r="K62">
        <v>123</v>
      </c>
      <c r="L62" t="s">
        <v>47</v>
      </c>
      <c r="M62" t="s">
        <v>208</v>
      </c>
      <c r="O62">
        <v>26095</v>
      </c>
      <c r="P62">
        <v>58</v>
      </c>
    </row>
    <row r="63" spans="1:16" x14ac:dyDescent="0.25">
      <c r="A63">
        <v>2433</v>
      </c>
      <c r="B63" t="s">
        <v>279</v>
      </c>
      <c r="C63" t="s">
        <v>45</v>
      </c>
      <c r="D63">
        <v>26095</v>
      </c>
      <c r="E63">
        <v>10</v>
      </c>
      <c r="F63">
        <v>103.5</v>
      </c>
      <c r="G63" t="s">
        <v>49</v>
      </c>
      <c r="H63">
        <v>1035000</v>
      </c>
      <c r="I63" s="3">
        <v>0.44747685185185188</v>
      </c>
      <c r="J63">
        <v>339229</v>
      </c>
      <c r="K63">
        <v>123</v>
      </c>
      <c r="L63" t="s">
        <v>47</v>
      </c>
      <c r="M63" t="s">
        <v>208</v>
      </c>
      <c r="O63">
        <v>26095</v>
      </c>
      <c r="P63">
        <v>58</v>
      </c>
    </row>
    <row r="64" spans="1:16" x14ac:dyDescent="0.25">
      <c r="A64">
        <v>2434</v>
      </c>
      <c r="B64" t="s">
        <v>279</v>
      </c>
      <c r="C64" t="s">
        <v>45</v>
      </c>
      <c r="D64">
        <v>26095</v>
      </c>
      <c r="E64">
        <v>10</v>
      </c>
      <c r="F64">
        <v>103.5</v>
      </c>
      <c r="G64" t="s">
        <v>49</v>
      </c>
      <c r="H64">
        <v>1035000</v>
      </c>
      <c r="I64" s="3">
        <v>0.44747685185185188</v>
      </c>
      <c r="J64">
        <v>339230</v>
      </c>
      <c r="K64">
        <v>123</v>
      </c>
      <c r="L64" t="s">
        <v>47</v>
      </c>
      <c r="M64" t="s">
        <v>208</v>
      </c>
      <c r="O64">
        <v>26095</v>
      </c>
      <c r="P64">
        <v>58</v>
      </c>
    </row>
    <row r="65" spans="1:16" x14ac:dyDescent="0.25">
      <c r="A65">
        <v>2435</v>
      </c>
      <c r="B65" t="s">
        <v>279</v>
      </c>
      <c r="C65" t="s">
        <v>45</v>
      </c>
      <c r="D65">
        <v>26095</v>
      </c>
      <c r="E65">
        <v>20</v>
      </c>
      <c r="F65">
        <v>103.5</v>
      </c>
      <c r="G65" t="s">
        <v>49</v>
      </c>
      <c r="H65">
        <v>2070000</v>
      </c>
      <c r="I65" s="3">
        <v>0.44747685185185188</v>
      </c>
      <c r="J65">
        <v>339231</v>
      </c>
      <c r="K65">
        <v>123</v>
      </c>
      <c r="L65" t="s">
        <v>47</v>
      </c>
      <c r="M65" t="s">
        <v>208</v>
      </c>
      <c r="O65">
        <v>26095</v>
      </c>
      <c r="P65">
        <v>58</v>
      </c>
    </row>
    <row r="66" spans="1:16" x14ac:dyDescent="0.25">
      <c r="A66">
        <v>3506</v>
      </c>
      <c r="B66" t="s">
        <v>289</v>
      </c>
      <c r="C66" t="s">
        <v>45</v>
      </c>
      <c r="D66">
        <v>26095</v>
      </c>
      <c r="E66">
        <v>1</v>
      </c>
      <c r="F66">
        <v>104.15</v>
      </c>
      <c r="G66" t="s">
        <v>49</v>
      </c>
      <c r="H66">
        <v>104150</v>
      </c>
      <c r="I66" s="3">
        <v>0.55532407407407403</v>
      </c>
      <c r="J66">
        <v>535677</v>
      </c>
      <c r="K66">
        <v>123</v>
      </c>
      <c r="L66" t="s">
        <v>47</v>
      </c>
      <c r="M66" t="s">
        <v>208</v>
      </c>
      <c r="O66">
        <v>26095</v>
      </c>
      <c r="P66">
        <v>58</v>
      </c>
    </row>
    <row r="67" spans="1:16" x14ac:dyDescent="0.25">
      <c r="A67">
        <v>3507</v>
      </c>
      <c r="B67" t="s">
        <v>289</v>
      </c>
      <c r="C67" t="s">
        <v>45</v>
      </c>
      <c r="D67">
        <v>26095</v>
      </c>
      <c r="E67">
        <v>5</v>
      </c>
      <c r="F67">
        <v>104.15</v>
      </c>
      <c r="G67" t="s">
        <v>49</v>
      </c>
      <c r="H67">
        <v>520750</v>
      </c>
      <c r="I67" s="3">
        <v>0.55532407407407403</v>
      </c>
      <c r="J67">
        <v>535678</v>
      </c>
      <c r="K67">
        <v>123</v>
      </c>
      <c r="L67" t="s">
        <v>47</v>
      </c>
      <c r="M67" t="s">
        <v>208</v>
      </c>
      <c r="O67">
        <v>26095</v>
      </c>
      <c r="P67">
        <v>58</v>
      </c>
    </row>
    <row r="68" spans="1:16" x14ac:dyDescent="0.25">
      <c r="A68">
        <v>3508</v>
      </c>
      <c r="B68" t="s">
        <v>289</v>
      </c>
      <c r="C68" t="s">
        <v>45</v>
      </c>
      <c r="D68">
        <v>26095</v>
      </c>
      <c r="E68">
        <v>10</v>
      </c>
      <c r="F68">
        <v>104.15</v>
      </c>
      <c r="G68" t="s">
        <v>49</v>
      </c>
      <c r="H68">
        <v>1041500</v>
      </c>
      <c r="I68" s="3">
        <v>0.55532407407407403</v>
      </c>
      <c r="J68">
        <v>535679</v>
      </c>
      <c r="K68">
        <v>123</v>
      </c>
      <c r="L68" t="s">
        <v>47</v>
      </c>
      <c r="M68" t="s">
        <v>208</v>
      </c>
      <c r="O68">
        <v>26095</v>
      </c>
      <c r="P68">
        <v>58</v>
      </c>
    </row>
    <row r="69" spans="1:16" x14ac:dyDescent="0.25">
      <c r="A69">
        <v>3509</v>
      </c>
      <c r="B69" t="s">
        <v>289</v>
      </c>
      <c r="C69" t="s">
        <v>45</v>
      </c>
      <c r="D69">
        <v>26095</v>
      </c>
      <c r="E69">
        <v>14</v>
      </c>
      <c r="F69">
        <v>104.15</v>
      </c>
      <c r="G69" t="s">
        <v>49</v>
      </c>
      <c r="H69">
        <v>1458100</v>
      </c>
      <c r="I69" s="3">
        <v>0.55532407407407403</v>
      </c>
      <c r="J69">
        <v>535680</v>
      </c>
      <c r="K69">
        <v>123</v>
      </c>
      <c r="L69" t="s">
        <v>47</v>
      </c>
      <c r="M69" t="s">
        <v>208</v>
      </c>
      <c r="O69">
        <v>26095</v>
      </c>
      <c r="P69">
        <v>58</v>
      </c>
    </row>
    <row r="70" spans="1:16" x14ac:dyDescent="0.25">
      <c r="A70">
        <v>2437</v>
      </c>
      <c r="B70" t="s">
        <v>299</v>
      </c>
      <c r="C70" t="s">
        <v>45</v>
      </c>
      <c r="D70">
        <v>26095</v>
      </c>
      <c r="E70">
        <v>10</v>
      </c>
      <c r="F70">
        <v>103.5</v>
      </c>
      <c r="G70" t="s">
        <v>46</v>
      </c>
      <c r="H70">
        <v>1035000</v>
      </c>
      <c r="I70" s="3">
        <v>0.44747685185185188</v>
      </c>
      <c r="J70">
        <v>339229</v>
      </c>
      <c r="K70">
        <v>20</v>
      </c>
      <c r="L70" t="s">
        <v>48</v>
      </c>
      <c r="M70" t="s">
        <v>208</v>
      </c>
      <c r="O70">
        <v>26095</v>
      </c>
      <c r="P70">
        <v>58</v>
      </c>
    </row>
  </sheetData>
  <sortState ref="A1:P70">
    <sortCondition ref="D1"/>
  </sortState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"/>
  <sheetViews>
    <sheetView workbookViewId="0"/>
  </sheetViews>
  <sheetFormatPr defaultRowHeight="16.5" x14ac:dyDescent="0.2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3</vt:i4>
      </vt:variant>
    </vt:vector>
  </HeadingPairs>
  <TitlesOfParts>
    <vt:vector size="6" baseType="lpstr">
      <vt:lpstr>成交回報20180612</vt:lpstr>
      <vt:lpstr>result</vt:lpstr>
      <vt:lpstr>result1</vt:lpstr>
      <vt:lpstr>daytrade</vt:lpstr>
      <vt:lpstr>output</vt:lpstr>
      <vt:lpstr>stock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vtteam</dc:creator>
  <cp:lastModifiedBy>林佳莉</cp:lastModifiedBy>
  <dcterms:created xsi:type="dcterms:W3CDTF">2018-06-21T12:50:49Z</dcterms:created>
  <dcterms:modified xsi:type="dcterms:W3CDTF">2018-06-24T14:19:18Z</dcterms:modified>
</cp:coreProperties>
</file>